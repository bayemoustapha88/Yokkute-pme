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Veille_marches" sheetId="2" state="visible" r:id="rId4"/>
    <sheet name="Dossier_administratif" sheetId="3" state="visible" r:id="rId5"/>
    <sheet name="Prix_offre" sheetId="4" state="visible" r:id="rId6"/>
    <sheet name="Tresorerie_marche" sheetId="5" state="visible" r:id="rId7"/>
    <sheet name="Retroplanning_offre" sheetId="6" state="visible" r:id="rId8"/>
    <sheet name="Cas_Aliou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<sst xmlns="http://schemas.openxmlformats.org/spreadsheetml/2006/main" count="210" uniqueCount="148">
  <si>
    <t xml:space="preserve">MC10 · Accéder aux marchés publics</t>
  </si>
  <si>
    <t xml:space="preserve">Outils participants · Code des marchés publics 2022 (décret n° 2022-2295) · CADE / CCIAK</t>
  </si>
  <si>
    <t xml:space="preserve">Onglet</t>
  </si>
  <si>
    <t xml:space="preserve">Usage</t>
  </si>
  <si>
    <t xml:space="preserve">Veille_marches</t>
  </si>
  <si>
    <t xml:space="preserve">Suivre les acheteurs publics, leurs plans de passation et les consultations en cours.</t>
  </si>
  <si>
    <t xml:space="preserve">Dossier_administratif</t>
  </si>
  <si>
    <t xml:space="preserve">Mes pièces, leur date d'obtention et d'expiration ; les pièces expirées ou bientôt expirées sont signalées.</t>
  </si>
  <si>
    <t xml:space="preserve">Prix_offre</t>
  </si>
  <si>
    <t xml:space="preserve">Construire un prix d'offre : coûts directs, frais généraux, préfinancement, marge.</t>
  </si>
  <si>
    <t xml:space="preserve">Tresorerie_marche</t>
  </si>
  <si>
    <t xml:space="preserve">Le plan de trésorerie d'un marché semaine par semaine et le besoin de financement maximal.</t>
  </si>
  <si>
    <t xml:space="preserve">Retroplanning_offre</t>
  </si>
  <si>
    <t xml:space="preserve">Les étapes de la réponse, datées à partir de la date limite de dépôt.</t>
  </si>
  <si>
    <t xml:space="preserve">Cas_Aliou</t>
  </si>
  <si>
    <t xml:space="preserve">Le cas pratique de la séance, avec son corrigé chiffré.</t>
  </si>
  <si>
    <t xml:space="preserve">Cellules jaunes à texte bleu : à remplir. Seuils, pièces et délais : Code des marchés publics 2022, arrêté n° 007118 du 23 mars 2023, guide Senpages (août 2026). À vérifier auprès de l'ARCOP ou de l'acheteur avant chaque offre.</t>
  </si>
  <si>
    <t xml:space="preserve">Repères de seuils (FCFA, État, collectivités, établissements publics)</t>
  </si>
  <si>
    <t xml:space="preserve">Mode</t>
  </si>
  <si>
    <t xml:space="preserve">Travaux · Fournitures et services · Prestations intellectuelles</t>
  </si>
  <si>
    <t xml:space="preserve">DRP simple</t>
  </si>
  <si>
    <t xml:space="preserve">moins de 5 M TTC · moins de 3 M TTC · moins de 5 M TTC (au moins 3 prestataires consultés)</t>
  </si>
  <si>
    <t xml:space="preserve">DRP restreinte</t>
  </si>
  <si>
    <t xml:space="preserve">moins de 25 M · moins de 15 M · moins de 25 M (au moins 5 entreprises consultées par écrit)</t>
  </si>
  <si>
    <t xml:space="preserve">DRP ouverte</t>
  </si>
  <si>
    <t xml:space="preserve">25 à 70 M · 15 à 50 M · 25 à 50 M (appel public)</t>
  </si>
  <si>
    <t xml:space="preserve">Appel d'offres ouvert</t>
  </si>
  <si>
    <t xml:space="preserve">70 M et plus · 50 M et plus · 50 M et plus</t>
  </si>
  <si>
    <t xml:space="preserve">Veille des marchés publics</t>
  </si>
  <si>
    <t xml:space="preserve">Plans de passation, consultations, présentations déposées</t>
  </si>
  <si>
    <t xml:space="preserve">Cellules jaunes à texte bleu : à remplir. Cellules blanches : calculées automatiquement, ne pas modifier.</t>
  </si>
  <si>
    <t xml:space="preserve">Acheteur public</t>
  </si>
  <si>
    <t xml:space="preserve">Objet (ce qu'il achète de mon métier)</t>
  </si>
  <si>
    <t xml:space="preserve">Mode de passation</t>
  </si>
  <si>
    <t xml:space="preserve">Montant estimé (FCFA)</t>
  </si>
  <si>
    <t xml:space="preserve">Date limite</t>
  </si>
  <si>
    <t xml:space="preserve">Jours restants</t>
  </si>
  <si>
    <t xml:space="preserve">Décision</t>
  </si>
  <si>
    <t xml:space="preserve">Exemple : conseil départemental</t>
  </si>
  <si>
    <t xml:space="preserve">Tables-bancs pour les écoles</t>
  </si>
  <si>
    <t xml:space="preserve">Je réponds</t>
  </si>
  <si>
    <t xml:space="preserve">Offres déposées</t>
  </si>
  <si>
    <t xml:space="preserve">Marchés gagnés</t>
  </si>
  <si>
    <t xml:space="preserve">Mon dossier administratif</t>
  </si>
  <si>
    <t xml:space="preserve">Une pièce manquante peut faire perdre un marché · durée de validité à vérifier pour chaque pièce</t>
  </si>
  <si>
    <t xml:space="preserve">Pièce</t>
  </si>
  <si>
    <t xml:space="preserve">Délivrée par</t>
  </si>
  <si>
    <t xml:space="preserve">Je l'ai ?</t>
  </si>
  <si>
    <t xml:space="preserve">Date d'obtention</t>
  </si>
  <si>
    <t xml:space="preserve">Validité (jours)</t>
  </si>
  <si>
    <t xml:space="preserve">Expire le</t>
  </si>
  <si>
    <t xml:space="preserve">Statut</t>
  </si>
  <si>
    <t xml:space="preserve">NINEA</t>
  </si>
  <si>
    <t xml:space="preserve">Guichet APIX (MC6)</t>
  </si>
  <si>
    <t xml:space="preserve">Oui</t>
  </si>
  <si>
    <t xml:space="preserve">RCCM</t>
  </si>
  <si>
    <t xml:space="preserve">Quitus ou attestation de régularité fiscale</t>
  </si>
  <si>
    <t xml:space="preserve">Centre des services fiscaux (MC7)</t>
  </si>
  <si>
    <t xml:space="preserve">Attestation IPRES</t>
  </si>
  <si>
    <t xml:space="preserve">IPRES (MC8)</t>
  </si>
  <si>
    <t xml:space="preserve">Attestation CSS</t>
  </si>
  <si>
    <t xml:space="preserve">Caisse de sécurité sociale (MC8)</t>
  </si>
  <si>
    <t xml:space="preserve">Attestation de l'Inspection du travail</t>
  </si>
  <si>
    <t xml:space="preserve">Inspection régionale du travail (MC8)</t>
  </si>
  <si>
    <t xml:space="preserve">Attestation de non-faillite</t>
  </si>
  <si>
    <t xml:space="preserve">Greffe du tribunal</t>
  </si>
  <si>
    <t xml:space="preserve">Qualification ou agrément (selon le secteur)</t>
  </si>
  <si>
    <t xml:space="preserve">Ministère concerné</t>
  </si>
  <si>
    <t xml:space="preserve">Présentation de l'entreprise (une page) et références</t>
  </si>
  <si>
    <t xml:space="preserve">Moi-même</t>
  </si>
  <si>
    <t xml:space="preserve">Pièces à régulariser</t>
  </si>
  <si>
    <t xml:space="preserve">Article 44 : une pièce manquante ou incomplète peut être régularisée jusqu'à l'attribution provisoire ; une pièce non conforme au dossier ne se rattrape pas. La garantie de soumission, si elle est demandée, se fournit en original.</t>
  </si>
  <si>
    <t xml:space="preserve">Construire mon prix d'offre</t>
  </si>
  <si>
    <t xml:space="preserve">Coût de revient complet (MC1) + coût d'attendre le paiement (MC2) + marge</t>
  </si>
  <si>
    <t xml:space="preserve">Donnée</t>
  </si>
  <si>
    <t xml:space="preserve">Valeur</t>
  </si>
  <si>
    <t xml:space="preserve">Quantité</t>
  </si>
  <si>
    <t xml:space="preserve">Matière principale (par unité)</t>
  </si>
  <si>
    <t xml:space="preserve">Autres fournitures (par unité)</t>
  </si>
  <si>
    <t xml:space="preserve">Finitions et consommables (par unité)</t>
  </si>
  <si>
    <t xml:space="preserve">Main-d'œuvre (par unité)</t>
  </si>
  <si>
    <t xml:space="preserve">Transport et livraison (par unité)</t>
  </si>
  <si>
    <t xml:space="preserve">Frais généraux (% des coûts directs)</t>
  </si>
  <si>
    <t xml:space="preserve">Montant préfinancé à crédit (FCFA)</t>
  </si>
  <si>
    <t xml:space="preserve">Taux d'intérêt mensuel</t>
  </si>
  <si>
    <t xml:space="preserve">Durée du préfinancement (mois)</t>
  </si>
  <si>
    <t xml:space="preserve">Marge (% du coût complet)</t>
  </si>
  <si>
    <t xml:space="preserve">Arrondi du prix unitaire (FCFA)</t>
  </si>
  <si>
    <t xml:space="preserve">Calcul par unité</t>
  </si>
  <si>
    <t xml:space="preserve">FCFA</t>
  </si>
  <si>
    <t xml:space="preserve">Coûts directs</t>
  </si>
  <si>
    <t xml:space="preserve">Frais généraux</t>
  </si>
  <si>
    <t xml:space="preserve">Coût du préfinancement par unité</t>
  </si>
  <si>
    <t xml:space="preserve">Coût complet</t>
  </si>
  <si>
    <t xml:space="preserve">Marge</t>
  </si>
  <si>
    <t xml:space="preserve">Prix unitaire calculé</t>
  </si>
  <si>
    <t xml:space="preserve">Prix unitaire proposé (arrondi)</t>
  </si>
  <si>
    <t xml:space="preserve">Montant de l'offre</t>
  </si>
  <si>
    <t xml:space="preserve">Coût total du préfinancement</t>
  </si>
  <si>
    <t xml:space="preserve">L'acheteur public paie sous 45 jours après régularisation du dossier ; au-delà, intérêts moratoires (article 107). Si vous êtes à la CGU, vous ne facturez pas la TVA : précisez-le dans l'offre. Exemple rempli : onglet Cas_Aliou.</t>
  </si>
  <si>
    <t xml:space="preserve">Trésorerie d'un marché, semaine par semaine</t>
  </si>
  <si>
    <t xml:space="preserve">Combien avancer, jusqu'à quand, et comment le financer</t>
  </si>
  <si>
    <t xml:space="preserve">Semaine</t>
  </si>
  <si>
    <t xml:space="preserve">Matières</t>
  </si>
  <si>
    <t xml:space="preserve">Main-d'œuvre</t>
  </si>
  <si>
    <t xml:space="preserve">Autres sorties</t>
  </si>
  <si>
    <t xml:space="preserve">Encaissements (avance, paiement)</t>
  </si>
  <si>
    <t xml:space="preserve">Solde de la semaine</t>
  </si>
  <si>
    <t xml:space="preserve">Cumul</t>
  </si>
  <si>
    <t xml:space="preserve">Besoin de financement maximal</t>
  </si>
  <si>
    <t xml:space="preserve">Semaine du besoin maximal</t>
  </si>
  <si>
    <t xml:space="preserve">Solde final du marché</t>
  </si>
  <si>
    <t xml:space="preserve">Leviers : crédit de campagne (capacité de remboursement, MC2), nantissement du marché auprès d'une banque, avance de démarrage si le marché la prévoit, crédit fournisseur, groupement.</t>
  </si>
  <si>
    <t xml:space="preserve">Rétroplanning de ma réponse</t>
  </si>
  <si>
    <t xml:space="preserve">Les dates se calculent à partir de la date limite de dépôt</t>
  </si>
  <si>
    <t xml:space="preserve">Date limite de dépôt de l'offre</t>
  </si>
  <si>
    <t xml:space="preserve">Étape</t>
  </si>
  <si>
    <t xml:space="preserve">Jours avant la date limite</t>
  </si>
  <si>
    <t xml:space="preserve">Date cible</t>
  </si>
  <si>
    <t xml:space="preserve">Fait ?</t>
  </si>
  <si>
    <t xml:space="preserve">Retirer et lire deux fois le dossier ; liste de contrôle des pièces</t>
  </si>
  <si>
    <t xml:space="preserve">Lancer le renouvellement des pièces expirées</t>
  </si>
  <si>
    <t xml:space="preserve">Visiter le site ou demander des précisions par écrit, si prévu</t>
  </si>
  <si>
    <t xml:space="preserve">Calculer le prix (Prix_offre) et la trésorerie (Tresorerie_marche)</t>
  </si>
  <si>
    <t xml:space="preserve">Obtenir la garantie de soumission en original, si demandée</t>
  </si>
  <si>
    <t xml:space="preserve">Rédiger l'offre technique et le bordereau des prix</t>
  </si>
  <si>
    <t xml:space="preserve">Relecture par le conseiller CADE</t>
  </si>
  <si>
    <t xml:space="preserve">Copies, signatures, cachets, mise sous pli</t>
  </si>
  <si>
    <t xml:space="preserve">Dépôt contre récépissé</t>
  </si>
  <si>
    <t xml:space="preserve">Après l'attribution provisoire : recours gracieux possible sous 5 jours francs et ouvrés ; puis Comité de règlement des différends de l'ARCOP sous 3 jours (frais de 50 000 FCFA).</t>
  </si>
  <si>
    <t xml:space="preserve">Cas pratique · Aliou, menuisier, et 120 tables-bancs</t>
  </si>
  <si>
    <t xml:space="preserve">DRP à compétition restreinte du conseil départemental · énoncé et corrigé chiffré</t>
  </si>
  <si>
    <t xml:space="preserve">Entreprise individuelle, deux ouvriers non déclarés, environ cinq tables-bancs par jour. Lettre d'invitation pour 120 tables-bancs livrables sous six semaines, offres à déposer dans quinze jours. Pièces demandées : NINEA, RCCM, quitus fiscal, attestations IPRES et CSS, Inspection du travail, non-faillite.</t>
  </si>
  <si>
    <t xml:space="preserve">Partie A · le dossier d'Aliou (le quitus a expiré il y a deux mois)</t>
  </si>
  <si>
    <t xml:space="preserve">Guichet APIX</t>
  </si>
  <si>
    <t xml:space="preserve">Quitus fiscal</t>
  </si>
  <si>
    <t xml:space="preserve">CSF</t>
  </si>
  <si>
    <t xml:space="preserve">IPRES</t>
  </si>
  <si>
    <t xml:space="preserve">Non</t>
  </si>
  <si>
    <t xml:space="preserve">CSS</t>
  </si>
  <si>
    <t xml:space="preserve">Inspection du travail</t>
  </si>
  <si>
    <t xml:space="preserve">Greffe</t>
  </si>
  <si>
    <t xml:space="preserve">Partie B · le prix</t>
  </si>
  <si>
    <t xml:space="preserve">Capacité : tables par jour</t>
  </si>
  <si>
    <t xml:space="preserve">Jours de fabrication nécessaires</t>
  </si>
  <si>
    <t xml:space="preserve">Jours ouvrés disponibles (6 semaines)</t>
  </si>
  <si>
    <t xml:space="preserve">Délai tenable ?</t>
  </si>
  <si>
    <t xml:space="preserve">Partie C · la trésorerie du marché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</si>
</sst>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-#,##0;\-"/>
    <numFmt numFmtId="166" formatCode="dd/mm/yyyy"/>
    <numFmt numFmtId="167" formatCode="0"/>
    <numFmt numFmtId="168" formatCode="@"/>
    <numFmt numFmtId="169" formatCode="0%"/>
    <numFmt numFmtId="170" formatCode="0.0%"/>
    <numFmt numFmtId="171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7342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1824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FFF6DC"/>
        <bgColor rgb="FFF9EEDA"/>
      </patternFill>
    </fill>
    <fill>
      <patternFill patternType="solid">
        <fgColor rgb="FFF6E7D2"/>
        <bgColor rgb="FFF9EEDA"/>
      </patternFill>
    </fill>
    <fill>
      <patternFill patternType="solid">
        <fgColor rgb="FFEAEEE8"/>
        <bgColor rgb="FFE5F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BEBEB"/>
        </patternFill>
      </fill>
    </dxf>
    <dxf>
      <font>
        <name val="Arial"/>
        <charset val="1"/>
        <family val="0"/>
        <b val="1"/>
        <color rgb="FF7A5410"/>
      </font>
      <fill>
        <patternFill>
          <bgColor rgb="FFF9EEDA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5F4E4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EA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E5F4E4"/>
      <rgbColor rgb="FFF9EEDA"/>
      <rgbColor rgb="FF99CCFF"/>
      <rgbColor rgb="FFFF99CC"/>
      <rgbColor rgb="FFCC99FF"/>
      <rgbColor rgb="FFF6E7D2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333300"/>
      <rgbColor rgb="FF7A541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1" customFormat="false" ht="30" hidden="false" customHeight="true" outlineLevel="0" collapsed="false">
      <c r="A11" s="4" t="s">
        <v>14</v>
      </c>
      <c r="B11" s="5" t="s">
        <v>15</v>
      </c>
    </row>
    <row r="13" customFormat="false" ht="42" hidden="false" customHeight="true" outlineLevel="0" collapsed="false">
      <c r="A13" s="6" t="s">
        <v>16</v>
      </c>
      <c r="B13" s="6"/>
    </row>
    <row r="15" customFormat="false" ht="15" hidden="false" customHeight="true" outlineLevel="0" collapsed="false">
      <c r="A15" s="7" t="s">
        <v>17</v>
      </c>
      <c r="B15" s="7"/>
    </row>
    <row r="16" customFormat="false" ht="30" hidden="false" customHeight="true" outlineLevel="0" collapsed="false">
      <c r="A16" s="3" t="s">
        <v>18</v>
      </c>
      <c r="B16" s="3" t="s">
        <v>19</v>
      </c>
    </row>
    <row r="17" customFormat="false" ht="15" hidden="false" customHeight="false" outlineLevel="0" collapsed="false">
      <c r="A17" s="4" t="s">
        <v>20</v>
      </c>
      <c r="B17" s="5" t="s">
        <v>21</v>
      </c>
    </row>
    <row r="18" customFormat="false" ht="15" hidden="false" customHeight="false" outlineLevel="0" collapsed="false">
      <c r="A18" s="4" t="s">
        <v>22</v>
      </c>
      <c r="B18" s="5" t="s">
        <v>23</v>
      </c>
    </row>
    <row r="19" customFormat="false" ht="15" hidden="false" customHeight="false" outlineLevel="0" collapsed="false">
      <c r="A19" s="4" t="s">
        <v>24</v>
      </c>
      <c r="B19" s="5" t="s">
        <v>25</v>
      </c>
    </row>
    <row r="20" customFormat="false" ht="15" hidden="false" customHeight="false" outlineLevel="0" collapsed="false">
      <c r="A20" s="4" t="s">
        <v>26</v>
      </c>
      <c r="B20" s="5" t="s">
        <v>27</v>
      </c>
    </row>
  </sheetData>
  <mergeCells count="2">
    <mergeCell ref="A13:B13"/>
    <mergeCell ref="A15:B15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18"/>
  </cols>
  <sheetData>
    <row r="1" customFormat="false" ht="18.5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true" outlineLevel="0" collapsed="false">
      <c r="A4" s="6" t="s">
        <v>30</v>
      </c>
      <c r="B4" s="6"/>
      <c r="C4" s="6"/>
      <c r="D4" s="6"/>
      <c r="E4" s="6"/>
      <c r="F4" s="6"/>
      <c r="G4" s="6"/>
    </row>
    <row r="6" customFormat="false" ht="30" hidden="false" customHeight="true" outlineLevel="0" collapsed="false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customFormat="false" ht="15" hidden="false" customHeight="false" outlineLevel="0" collapsed="false">
      <c r="A7" s="8" t="s">
        <v>38</v>
      </c>
      <c r="B7" s="8" t="s">
        <v>39</v>
      </c>
      <c r="C7" s="8" t="s">
        <v>22</v>
      </c>
      <c r="D7" s="9" t="n">
        <v>6500000</v>
      </c>
      <c r="E7" s="10" t="n">
        <v>46346</v>
      </c>
      <c r="F7" s="11" t="n">
        <f aca="true">IF(E7="","",E7-TODAY())</f>
        <v>21</v>
      </c>
      <c r="G7" s="8" t="s">
        <v>40</v>
      </c>
    </row>
    <row r="8" customFormat="false" ht="15" hidden="false" customHeight="false" outlineLevel="0" collapsed="false">
      <c r="A8" s="8"/>
      <c r="B8" s="8"/>
      <c r="C8" s="8"/>
      <c r="D8" s="9"/>
      <c r="E8" s="10"/>
      <c r="F8" s="11" t="str">
        <f aca="true">IF(E8="","",E8-TODAY())</f>
        <v/>
      </c>
      <c r="G8" s="8"/>
    </row>
    <row r="9" customFormat="false" ht="15" hidden="false" customHeight="false" outlineLevel="0" collapsed="false">
      <c r="A9" s="8"/>
      <c r="B9" s="8"/>
      <c r="C9" s="8"/>
      <c r="D9" s="9"/>
      <c r="E9" s="10"/>
      <c r="F9" s="11" t="str">
        <f aca="true">IF(E9="","",E9-TODAY())</f>
        <v/>
      </c>
      <c r="G9" s="8"/>
    </row>
    <row r="10" customFormat="false" ht="15" hidden="false" customHeight="false" outlineLevel="0" collapsed="false">
      <c r="A10" s="8"/>
      <c r="B10" s="8"/>
      <c r="C10" s="8"/>
      <c r="D10" s="9"/>
      <c r="E10" s="10"/>
      <c r="F10" s="11" t="str">
        <f aca="true">IF(E10="","",E10-TODAY())</f>
        <v/>
      </c>
      <c r="G10" s="8"/>
    </row>
    <row r="11" customFormat="false" ht="15" hidden="false" customHeight="false" outlineLevel="0" collapsed="false">
      <c r="A11" s="8"/>
      <c r="B11" s="8"/>
      <c r="C11" s="8"/>
      <c r="D11" s="9"/>
      <c r="E11" s="10"/>
      <c r="F11" s="11" t="str">
        <f aca="true">IF(E11="","",E11-TODAY())</f>
        <v/>
      </c>
      <c r="G11" s="8"/>
    </row>
    <row r="12" customFormat="false" ht="15" hidden="false" customHeight="false" outlineLevel="0" collapsed="false">
      <c r="A12" s="8"/>
      <c r="B12" s="8"/>
      <c r="C12" s="8"/>
      <c r="D12" s="9"/>
      <c r="E12" s="10"/>
      <c r="F12" s="11" t="str">
        <f aca="true">IF(E12="","",E12-TODAY())</f>
        <v/>
      </c>
      <c r="G12" s="8"/>
    </row>
    <row r="13" customFormat="false" ht="15" hidden="false" customHeight="false" outlineLevel="0" collapsed="false">
      <c r="A13" s="8"/>
      <c r="B13" s="8"/>
      <c r="C13" s="8"/>
      <c r="D13" s="9"/>
      <c r="E13" s="10"/>
      <c r="F13" s="11" t="str">
        <f aca="true">IF(E13="","",E13-TODAY())</f>
        <v/>
      </c>
      <c r="G13" s="8"/>
    </row>
    <row r="14" customFormat="false" ht="15" hidden="false" customHeight="false" outlineLevel="0" collapsed="false">
      <c r="A14" s="8"/>
      <c r="B14" s="8"/>
      <c r="C14" s="8"/>
      <c r="D14" s="9"/>
      <c r="E14" s="10"/>
      <c r="F14" s="11" t="str">
        <f aca="true">IF(E14="","",E14-TODAY())</f>
        <v/>
      </c>
      <c r="G14" s="8"/>
    </row>
    <row r="15" customFormat="false" ht="15" hidden="false" customHeight="false" outlineLevel="0" collapsed="false">
      <c r="A15" s="8"/>
      <c r="B15" s="8"/>
      <c r="C15" s="8"/>
      <c r="D15" s="9"/>
      <c r="E15" s="10"/>
      <c r="F15" s="11" t="str">
        <f aca="true">IF(E15="","",E15-TODAY())</f>
        <v/>
      </c>
      <c r="G15" s="8"/>
    </row>
    <row r="16" customFormat="false" ht="15" hidden="false" customHeight="false" outlineLevel="0" collapsed="false">
      <c r="A16" s="8"/>
      <c r="B16" s="8"/>
      <c r="C16" s="8"/>
      <c r="D16" s="9"/>
      <c r="E16" s="10"/>
      <c r="F16" s="11" t="str">
        <f aca="true">IF(E16="","",E16-TODAY())</f>
        <v/>
      </c>
      <c r="G16" s="8"/>
    </row>
    <row r="17" customFormat="false" ht="15" hidden="false" customHeight="false" outlineLevel="0" collapsed="false">
      <c r="A17" s="8"/>
      <c r="B17" s="8"/>
      <c r="C17" s="8"/>
      <c r="D17" s="9"/>
      <c r="E17" s="10"/>
      <c r="F17" s="11" t="str">
        <f aca="true">IF(E17="","",E17-TODAY())</f>
        <v/>
      </c>
      <c r="G17" s="8"/>
    </row>
    <row r="18" customFormat="false" ht="15" hidden="false" customHeight="false" outlineLevel="0" collapsed="false">
      <c r="A18" s="8"/>
      <c r="B18" s="8"/>
      <c r="C18" s="8"/>
      <c r="D18" s="9"/>
      <c r="E18" s="10"/>
      <c r="F18" s="11" t="str">
        <f aca="true">IF(E18="","",E18-TODAY())</f>
        <v/>
      </c>
      <c r="G18" s="8"/>
    </row>
    <row r="19" customFormat="false" ht="15" hidden="false" customHeight="false" outlineLevel="0" collapsed="false">
      <c r="A19" s="8"/>
      <c r="B19" s="8"/>
      <c r="C19" s="8"/>
      <c r="D19" s="9"/>
      <c r="E19" s="10"/>
      <c r="F19" s="11" t="str">
        <f aca="true">IF(E19="","",E19-TODAY())</f>
        <v/>
      </c>
      <c r="G19" s="8"/>
    </row>
    <row r="20" customFormat="false" ht="15" hidden="false" customHeight="false" outlineLevel="0" collapsed="false">
      <c r="A20" s="8"/>
      <c r="B20" s="8"/>
      <c r="C20" s="8"/>
      <c r="D20" s="9"/>
      <c r="E20" s="10"/>
      <c r="F20" s="11" t="str">
        <f aca="true">IF(E20="","",E20-TODAY())</f>
        <v/>
      </c>
      <c r="G20" s="8"/>
    </row>
    <row r="21" customFormat="false" ht="15" hidden="false" customHeight="false" outlineLevel="0" collapsed="false">
      <c r="A21" s="8"/>
      <c r="B21" s="8"/>
      <c r="C21" s="8"/>
      <c r="D21" s="9"/>
      <c r="E21" s="10"/>
      <c r="F21" s="11" t="str">
        <f aca="true">IF(E21="","",E21-TODAY())</f>
        <v/>
      </c>
      <c r="G21" s="8"/>
    </row>
    <row r="22" customFormat="false" ht="15" hidden="false" customHeight="false" outlineLevel="0" collapsed="false">
      <c r="A22" s="8"/>
      <c r="B22" s="8"/>
      <c r="C22" s="8"/>
      <c r="D22" s="9"/>
      <c r="E22" s="10"/>
      <c r="F22" s="11" t="str">
        <f aca="true">IF(E22="","",E22-TODAY())</f>
        <v/>
      </c>
      <c r="G22" s="8"/>
    </row>
    <row r="23" customFormat="false" ht="15" hidden="false" customHeight="false" outlineLevel="0" collapsed="false">
      <c r="A23" s="8"/>
      <c r="B23" s="8"/>
      <c r="C23" s="8"/>
      <c r="D23" s="9"/>
      <c r="E23" s="10"/>
      <c r="F23" s="11" t="str">
        <f aca="true">IF(E23="","",E23-TODAY())</f>
        <v/>
      </c>
      <c r="G23" s="8"/>
    </row>
    <row r="24" customFormat="false" ht="15" hidden="false" customHeight="false" outlineLevel="0" collapsed="false">
      <c r="A24" s="8"/>
      <c r="B24" s="8"/>
      <c r="C24" s="8"/>
      <c r="D24" s="9"/>
      <c r="E24" s="10"/>
      <c r="F24" s="11" t="str">
        <f aca="true">IF(E24="","",E24-TODAY())</f>
        <v/>
      </c>
      <c r="G24" s="8"/>
    </row>
    <row r="25" customFormat="false" ht="15" hidden="false" customHeight="false" outlineLevel="0" collapsed="false">
      <c r="A25" s="8"/>
      <c r="B25" s="8"/>
      <c r="C25" s="8"/>
      <c r="D25" s="9"/>
      <c r="E25" s="10"/>
      <c r="F25" s="11" t="str">
        <f aca="true">IF(E25="","",E25-TODAY())</f>
        <v/>
      </c>
      <c r="G25" s="8"/>
    </row>
    <row r="26" customFormat="false" ht="15" hidden="false" customHeight="false" outlineLevel="0" collapsed="false">
      <c r="A26" s="8"/>
      <c r="B26" s="8"/>
      <c r="C26" s="8"/>
      <c r="D26" s="9"/>
      <c r="E26" s="10"/>
      <c r="F26" s="11" t="str">
        <f aca="true">IF(E26="","",E26-TODAY())</f>
        <v/>
      </c>
      <c r="G26" s="8"/>
    </row>
    <row r="28" customFormat="false" ht="15" hidden="false" customHeight="false" outlineLevel="0" collapsed="false">
      <c r="A28" s="12" t="s">
        <v>41</v>
      </c>
      <c r="D28" s="13" t="n">
        <f aca="false">COUNTIF(G7:G26,"Offre déposée")+COUNTIF(G7:G26,"Gagné")+COUNTIF(G7:G26,"Perdu")</f>
        <v>0</v>
      </c>
    </row>
    <row r="29" customFormat="false" ht="15" hidden="false" customHeight="false" outlineLevel="0" collapsed="false">
      <c r="A29" s="12" t="s">
        <v>42</v>
      </c>
      <c r="D29" s="13" t="n">
        <f aca="false">COUNTIF(G7:G26,"Gagné")</f>
        <v>0</v>
      </c>
    </row>
  </sheetData>
  <mergeCells count="1">
    <mergeCell ref="A4:G4"/>
  </mergeCells>
  <conditionalFormatting sqref="F7:F26">
    <cfRule type="cellIs" priority="2" operator="between" aboveAverage="0" equalAverage="0" bottom="0" percent="0" rank="0" text="" dxfId="0">
      <formula>0</formula>
      <formula>7</formula>
    </cfRule>
  </conditionalFormatting>
  <dataValidations count="2">
    <dataValidation allowBlank="true" errorStyle="stop" operator="between" showDropDown="false" showErrorMessage="false" showInputMessage="false" sqref="C7:C26" type="list">
      <formula1>"DRP simple,DRP restreinte,DRP ouverte,Appel d'offres"</formula1>
      <formula2>0</formula2>
    </dataValidation>
    <dataValidation allowBlank="true" errorStyle="stop" operator="between" showDropDown="false" showErrorMessage="false" showInputMessage="false" sqref="G7:G26" type="list">
      <formula1>"À étudier,Je réponds,En groupement,Je ne réponds pas,Offre déposée,Gagné,Perdu"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true" outlineLevel="0" collapsed="false">
      <c r="A4" s="6" t="s">
        <v>30</v>
      </c>
      <c r="B4" s="6"/>
      <c r="C4" s="6"/>
      <c r="D4" s="6"/>
      <c r="E4" s="6"/>
      <c r="F4" s="6"/>
      <c r="G4" s="6"/>
    </row>
    <row r="6" customFormat="false" ht="30" hidden="false" customHeight="true" outlineLevel="0" collapsed="false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</row>
    <row r="7" customFormat="false" ht="27.75" hidden="false" customHeight="true" outlineLevel="0" collapsed="false">
      <c r="A7" s="5" t="s">
        <v>52</v>
      </c>
      <c r="B7" s="14" t="s">
        <v>53</v>
      </c>
      <c r="C7" s="8" t="s">
        <v>54</v>
      </c>
      <c r="D7" s="10" t="n">
        <v>45726</v>
      </c>
      <c r="E7" s="15"/>
      <c r="F7" s="16" t="str">
        <f aca="false">IF(OR(D7="",E7=""),"",D7+E7)</f>
        <v/>
      </c>
      <c r="G7" s="17" t="str">
        <f aca="true">IF(C7&lt;&gt;"Oui","Manquante",IF(F7="","Valide",IF(F7&lt;TODAY(),"Expirée",IF(F7-TODAY()&lt;=30,"Expire bientôt","Valide"))))</f>
        <v>Valide</v>
      </c>
    </row>
    <row r="8" customFormat="false" ht="27.75" hidden="false" customHeight="true" outlineLevel="0" collapsed="false">
      <c r="A8" s="5" t="s">
        <v>55</v>
      </c>
      <c r="B8" s="14" t="s">
        <v>53</v>
      </c>
      <c r="C8" s="8"/>
      <c r="D8" s="10"/>
      <c r="E8" s="15"/>
      <c r="F8" s="16" t="str">
        <f aca="false">IF(OR(D8="",E8=""),"",D8+E8)</f>
        <v/>
      </c>
      <c r="G8" s="17" t="str">
        <f aca="true">IF(C8&lt;&gt;"Oui","Manquante",IF(F8="","Valide",IF(F8&lt;TODAY(),"Expirée",IF(F8-TODAY()&lt;=30,"Expire bientôt","Valide"))))</f>
        <v>Manquante</v>
      </c>
    </row>
    <row r="9" customFormat="false" ht="27.75" hidden="false" customHeight="true" outlineLevel="0" collapsed="false">
      <c r="A9" s="5" t="s">
        <v>56</v>
      </c>
      <c r="B9" s="14" t="s">
        <v>57</v>
      </c>
      <c r="C9" s="8"/>
      <c r="D9" s="10"/>
      <c r="E9" s="15"/>
      <c r="F9" s="16" t="str">
        <f aca="false">IF(OR(D9="",E9=""),"",D9+E9)</f>
        <v/>
      </c>
      <c r="G9" s="17" t="str">
        <f aca="true">IF(C9&lt;&gt;"Oui","Manquante",IF(F9="","Valide",IF(F9&lt;TODAY(),"Expirée",IF(F9-TODAY()&lt;=30,"Expire bientôt","Valide"))))</f>
        <v>Manquante</v>
      </c>
    </row>
    <row r="10" customFormat="false" ht="27.75" hidden="false" customHeight="true" outlineLevel="0" collapsed="false">
      <c r="A10" s="5" t="s">
        <v>58</v>
      </c>
      <c r="B10" s="14" t="s">
        <v>59</v>
      </c>
      <c r="C10" s="8"/>
      <c r="D10" s="10"/>
      <c r="E10" s="15"/>
      <c r="F10" s="16" t="str">
        <f aca="false">IF(OR(D10="",E10=""),"",D10+E10)</f>
        <v/>
      </c>
      <c r="G10" s="17" t="str">
        <f aca="true">IF(C10&lt;&gt;"Oui","Manquante",IF(F10="","Valide",IF(F10&lt;TODAY(),"Expirée",IF(F10-TODAY()&lt;=30,"Expire bientôt","Valide"))))</f>
        <v>Manquante</v>
      </c>
    </row>
    <row r="11" customFormat="false" ht="27.75" hidden="false" customHeight="true" outlineLevel="0" collapsed="false">
      <c r="A11" s="5" t="s">
        <v>60</v>
      </c>
      <c r="B11" s="14" t="s">
        <v>61</v>
      </c>
      <c r="C11" s="8"/>
      <c r="D11" s="10"/>
      <c r="E11" s="15"/>
      <c r="F11" s="16" t="str">
        <f aca="false">IF(OR(D11="",E11=""),"",D11+E11)</f>
        <v/>
      </c>
      <c r="G11" s="17" t="str">
        <f aca="true">IF(C11&lt;&gt;"Oui","Manquante",IF(F11="","Valide",IF(F11&lt;TODAY(),"Expirée",IF(F11-TODAY()&lt;=30,"Expire bientôt","Valide"))))</f>
        <v>Manquante</v>
      </c>
    </row>
    <row r="12" customFormat="false" ht="27.75" hidden="false" customHeight="true" outlineLevel="0" collapsed="false">
      <c r="A12" s="5" t="s">
        <v>62</v>
      </c>
      <c r="B12" s="14" t="s">
        <v>63</v>
      </c>
      <c r="C12" s="8"/>
      <c r="D12" s="10"/>
      <c r="E12" s="15"/>
      <c r="F12" s="16" t="str">
        <f aca="false">IF(OR(D12="",E12=""),"",D12+E12)</f>
        <v/>
      </c>
      <c r="G12" s="17" t="str">
        <f aca="true">IF(C12&lt;&gt;"Oui","Manquante",IF(F12="","Valide",IF(F12&lt;TODAY(),"Expirée",IF(F12-TODAY()&lt;=30,"Expire bientôt","Valide"))))</f>
        <v>Manquante</v>
      </c>
    </row>
    <row r="13" customFormat="false" ht="27.75" hidden="false" customHeight="true" outlineLevel="0" collapsed="false">
      <c r="A13" s="5" t="s">
        <v>64</v>
      </c>
      <c r="B13" s="14" t="s">
        <v>65</v>
      </c>
      <c r="C13" s="8"/>
      <c r="D13" s="10"/>
      <c r="E13" s="15"/>
      <c r="F13" s="16" t="str">
        <f aca="false">IF(OR(D13="",E13=""),"",D13+E13)</f>
        <v/>
      </c>
      <c r="G13" s="17" t="str">
        <f aca="true">IF(C13&lt;&gt;"Oui","Manquante",IF(F13="","Valide",IF(F13&lt;TODAY(),"Expirée",IF(F13-TODAY()&lt;=30,"Expire bientôt","Valide"))))</f>
        <v>Manquante</v>
      </c>
    </row>
    <row r="14" customFormat="false" ht="27.75" hidden="false" customHeight="true" outlineLevel="0" collapsed="false">
      <c r="A14" s="5" t="s">
        <v>66</v>
      </c>
      <c r="B14" s="14" t="s">
        <v>67</v>
      </c>
      <c r="C14" s="8"/>
      <c r="D14" s="10"/>
      <c r="E14" s="15"/>
      <c r="F14" s="16" t="str">
        <f aca="false">IF(OR(D14="",E14=""),"",D14+E14)</f>
        <v/>
      </c>
      <c r="G14" s="17" t="str">
        <f aca="true">IF(C14&lt;&gt;"Oui","Manquante",IF(F14="","Valide",IF(F14&lt;TODAY(),"Expirée",IF(F14-TODAY()&lt;=30,"Expire bientôt","Valide"))))</f>
        <v>Manquante</v>
      </c>
    </row>
    <row r="15" customFormat="false" ht="27.75" hidden="false" customHeight="true" outlineLevel="0" collapsed="false">
      <c r="A15" s="5" t="s">
        <v>68</v>
      </c>
      <c r="B15" s="14" t="s">
        <v>69</v>
      </c>
      <c r="C15" s="8"/>
      <c r="D15" s="10"/>
      <c r="E15" s="15"/>
      <c r="F15" s="16" t="str">
        <f aca="false">IF(OR(D15="",E15=""),"",D15+E15)</f>
        <v/>
      </c>
      <c r="G15" s="17" t="str">
        <f aca="true">IF(C15&lt;&gt;"Oui","Manquante",IF(F15="","Valide",IF(F15&lt;TODAY(),"Expirée",IF(F15-TODAY()&lt;=30,"Expire bientôt","Valide"))))</f>
        <v>Manquante</v>
      </c>
    </row>
    <row r="17" customFormat="false" ht="15" hidden="false" customHeight="false" outlineLevel="0" collapsed="false">
      <c r="A17" s="12" t="s">
        <v>70</v>
      </c>
      <c r="G17" s="13" t="n">
        <f aca="false">COUNTIF(G7:G15,"Manquante")+COUNTIF(G7:G15,"Expirée")</f>
        <v>8</v>
      </c>
    </row>
    <row r="19" customFormat="false" ht="30" hidden="false" customHeight="true" outlineLevel="0" collapsed="false">
      <c r="A19" s="6" t="s">
        <v>71</v>
      </c>
      <c r="B19" s="6"/>
      <c r="C19" s="6"/>
      <c r="D19" s="6"/>
      <c r="E19" s="6"/>
      <c r="F19" s="6"/>
      <c r="G19" s="6"/>
    </row>
  </sheetData>
  <mergeCells count="2">
    <mergeCell ref="A4:G4"/>
    <mergeCell ref="A19:G19"/>
  </mergeCells>
  <conditionalFormatting sqref="G7:G15">
    <cfRule type="expression" priority="2" aboveAverage="0" equalAverage="0" bottom="0" percent="0" rank="0" text="" dxfId="0">
      <formula>OR(G7="Manquante",G7="Expirée")</formula>
    </cfRule>
    <cfRule type="expression" priority="3" aboveAverage="0" equalAverage="0" bottom="0" percent="0" rank="0" text="" dxfId="1">
      <formula>G7="Expire bientôt"</formula>
    </cfRule>
    <cfRule type="expression" priority="4" aboveAverage="0" equalAverage="0" bottom="0" percent="0" rank="0" text="" dxfId="2">
      <formula>G7="Valide"</formula>
    </cfRule>
  </conditionalFormatting>
  <dataValidations count="1">
    <dataValidation allowBlank="true" errorStyle="stop" operator="between" showDropDown="false" showErrorMessage="false" showInputMessage="false" sqref="C7:C15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8"/>
  </cols>
  <sheetData>
    <row r="1" customFormat="false" ht="18.5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22.35" hidden="false" customHeight="true" outlineLevel="0" collapsed="false">
      <c r="A4" s="6" t="s">
        <v>30</v>
      </c>
      <c r="B4" s="6"/>
      <c r="C4" s="6"/>
    </row>
    <row r="6" customFormat="false" ht="30" hidden="false" customHeight="true" outlineLevel="0" collapsed="false">
      <c r="A6" s="3" t="s">
        <v>74</v>
      </c>
      <c r="B6" s="3"/>
      <c r="C6" s="3" t="s">
        <v>75</v>
      </c>
    </row>
    <row r="7" customFormat="false" ht="15" hidden="false" customHeight="false" outlineLevel="0" collapsed="false">
      <c r="A7" s="18" t="s">
        <v>76</v>
      </c>
      <c r="B7" s="18"/>
      <c r="C7" s="15"/>
    </row>
    <row r="8" customFormat="false" ht="15" hidden="false" customHeight="false" outlineLevel="0" collapsed="false">
      <c r="A8" s="18" t="s">
        <v>77</v>
      </c>
      <c r="B8" s="18"/>
      <c r="C8" s="9"/>
    </row>
    <row r="9" customFormat="false" ht="15" hidden="false" customHeight="false" outlineLevel="0" collapsed="false">
      <c r="A9" s="18" t="s">
        <v>78</v>
      </c>
      <c r="B9" s="18"/>
      <c r="C9" s="9"/>
    </row>
    <row r="10" customFormat="false" ht="15" hidden="false" customHeight="false" outlineLevel="0" collapsed="false">
      <c r="A10" s="18" t="s">
        <v>79</v>
      </c>
      <c r="B10" s="18"/>
      <c r="C10" s="9"/>
    </row>
    <row r="11" customFormat="false" ht="15" hidden="false" customHeight="false" outlineLevel="0" collapsed="false">
      <c r="A11" s="18" t="s">
        <v>80</v>
      </c>
      <c r="B11" s="18"/>
      <c r="C11" s="9"/>
    </row>
    <row r="12" customFormat="false" ht="15" hidden="false" customHeight="false" outlineLevel="0" collapsed="false">
      <c r="A12" s="18" t="s">
        <v>81</v>
      </c>
      <c r="B12" s="18"/>
      <c r="C12" s="9"/>
    </row>
    <row r="13" customFormat="false" ht="15" hidden="false" customHeight="false" outlineLevel="0" collapsed="false">
      <c r="A13" s="18" t="s">
        <v>82</v>
      </c>
      <c r="B13" s="18"/>
      <c r="C13" s="19" t="n">
        <v>0.1</v>
      </c>
    </row>
    <row r="14" customFormat="false" ht="15" hidden="false" customHeight="false" outlineLevel="0" collapsed="false">
      <c r="A14" s="18" t="s">
        <v>83</v>
      </c>
      <c r="B14" s="18"/>
      <c r="C14" s="9"/>
    </row>
    <row r="15" customFormat="false" ht="15" hidden="false" customHeight="false" outlineLevel="0" collapsed="false">
      <c r="A15" s="18" t="s">
        <v>84</v>
      </c>
      <c r="B15" s="18"/>
      <c r="C15" s="20" t="n">
        <v>0.015</v>
      </c>
    </row>
    <row r="16" customFormat="false" ht="15" hidden="false" customHeight="false" outlineLevel="0" collapsed="false">
      <c r="A16" s="18" t="s">
        <v>85</v>
      </c>
      <c r="B16" s="18"/>
      <c r="C16" s="21" t="n">
        <v>3</v>
      </c>
    </row>
    <row r="17" customFormat="false" ht="15" hidden="false" customHeight="false" outlineLevel="0" collapsed="false">
      <c r="A17" s="18" t="s">
        <v>86</v>
      </c>
      <c r="B17" s="18"/>
      <c r="C17" s="19" t="n">
        <v>0.15</v>
      </c>
    </row>
    <row r="18" customFormat="false" ht="15" hidden="false" customHeight="false" outlineLevel="0" collapsed="false">
      <c r="A18" s="18" t="s">
        <v>87</v>
      </c>
      <c r="B18" s="18"/>
      <c r="C18" s="15" t="n">
        <v>100</v>
      </c>
    </row>
    <row r="20" customFormat="false" ht="30" hidden="false" customHeight="true" outlineLevel="0" collapsed="false">
      <c r="A20" s="3" t="s">
        <v>88</v>
      </c>
      <c r="B20" s="3"/>
      <c r="C20" s="3" t="s">
        <v>89</v>
      </c>
    </row>
    <row r="21" customFormat="false" ht="15" hidden="false" customHeight="false" outlineLevel="0" collapsed="false">
      <c r="A21" s="18" t="s">
        <v>90</v>
      </c>
      <c r="B21" s="18"/>
      <c r="C21" s="22" t="n">
        <f aca="false">SUM(C8,C9,C10,C11,C12)</f>
        <v>0</v>
      </c>
    </row>
    <row r="22" customFormat="false" ht="15" hidden="false" customHeight="false" outlineLevel="0" collapsed="false">
      <c r="A22" s="18" t="s">
        <v>91</v>
      </c>
      <c r="B22" s="18"/>
      <c r="C22" s="22" t="n">
        <f aca="false">C21*C13</f>
        <v>0</v>
      </c>
    </row>
    <row r="23" customFormat="false" ht="15" hidden="false" customHeight="false" outlineLevel="0" collapsed="false">
      <c r="A23" s="18" t="s">
        <v>92</v>
      </c>
      <c r="B23" s="18"/>
      <c r="C23" s="22" t="n">
        <f aca="false">IF(N(C7)=0,0,C14*C15*C16/C7)</f>
        <v>0</v>
      </c>
    </row>
    <row r="24" customFormat="false" ht="15" hidden="false" customHeight="false" outlineLevel="0" collapsed="false">
      <c r="A24" s="12" t="s">
        <v>93</v>
      </c>
      <c r="B24" s="12"/>
      <c r="C24" s="23" t="n">
        <f aca="false">SUM(C21:C23)</f>
        <v>0</v>
      </c>
    </row>
    <row r="25" customFormat="false" ht="15" hidden="false" customHeight="false" outlineLevel="0" collapsed="false">
      <c r="A25" s="18" t="s">
        <v>94</v>
      </c>
      <c r="B25" s="18"/>
      <c r="C25" s="22" t="n">
        <f aca="false">C24*C17</f>
        <v>0</v>
      </c>
    </row>
    <row r="26" customFormat="false" ht="15" hidden="false" customHeight="false" outlineLevel="0" collapsed="false">
      <c r="A26" s="18" t="s">
        <v>95</v>
      </c>
      <c r="B26" s="18"/>
      <c r="C26" s="22" t="n">
        <f aca="false">C24+C25</f>
        <v>0</v>
      </c>
    </row>
    <row r="27" customFormat="false" ht="15" hidden="false" customHeight="false" outlineLevel="0" collapsed="false">
      <c r="A27" s="12" t="s">
        <v>96</v>
      </c>
      <c r="B27" s="12"/>
      <c r="C27" s="23" t="n">
        <f aca="false">IF(N(C18)=0,C26,ROUND(C26/C18,0)*C18)</f>
        <v>0</v>
      </c>
    </row>
    <row r="28" customFormat="false" ht="15" hidden="false" customHeight="false" outlineLevel="0" collapsed="false">
      <c r="A28" s="12" t="s">
        <v>97</v>
      </c>
      <c r="B28" s="12"/>
      <c r="C28" s="23" t="n">
        <f aca="false">C27*C7</f>
        <v>0</v>
      </c>
    </row>
    <row r="29" customFormat="false" ht="15" hidden="false" customHeight="false" outlineLevel="0" collapsed="false">
      <c r="A29" s="18" t="s">
        <v>98</v>
      </c>
      <c r="B29" s="18"/>
      <c r="C29" s="22" t="n">
        <f aca="false">C14*C15*C16</f>
        <v>0</v>
      </c>
    </row>
    <row r="31" customFormat="false" ht="42" hidden="false" customHeight="true" outlineLevel="0" collapsed="false">
      <c r="A31" s="6" t="s">
        <v>99</v>
      </c>
      <c r="B31" s="6"/>
      <c r="C31" s="6"/>
    </row>
  </sheetData>
  <mergeCells count="25">
    <mergeCell ref="A4:C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C31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8.5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15" hidden="false" customHeight="true" outlineLevel="0" collapsed="false">
      <c r="A4" s="6" t="s">
        <v>30</v>
      </c>
      <c r="B4" s="6"/>
      <c r="C4" s="6"/>
      <c r="D4" s="6"/>
      <c r="E4" s="6"/>
      <c r="F4" s="6"/>
      <c r="G4" s="6"/>
    </row>
    <row r="6" customFormat="false" ht="30" hidden="false" customHeight="true" outlineLevel="0" collapsed="false">
      <c r="A6" s="3" t="s">
        <v>102</v>
      </c>
      <c r="B6" s="3" t="s">
        <v>103</v>
      </c>
      <c r="C6" s="3" t="s">
        <v>104</v>
      </c>
      <c r="D6" s="3" t="s">
        <v>105</v>
      </c>
      <c r="E6" s="3" t="s">
        <v>106</v>
      </c>
      <c r="F6" s="3" t="s">
        <v>107</v>
      </c>
      <c r="G6" s="3" t="s">
        <v>108</v>
      </c>
    </row>
    <row r="7" customFormat="false" ht="15" hidden="false" customHeight="false" outlineLevel="0" collapsed="false">
      <c r="A7" s="18" t="n">
        <v>1</v>
      </c>
      <c r="B7" s="9"/>
      <c r="C7" s="9"/>
      <c r="D7" s="9"/>
      <c r="E7" s="9"/>
      <c r="F7" s="22" t="n">
        <f aca="false">N(E7)-N(B7)-N(C7)-N(D7)</f>
        <v>0</v>
      </c>
      <c r="G7" s="24" t="n">
        <f aca="false">F7</f>
        <v>0</v>
      </c>
    </row>
    <row r="8" customFormat="false" ht="15" hidden="false" customHeight="false" outlineLevel="0" collapsed="false">
      <c r="A8" s="18" t="n">
        <v>2</v>
      </c>
      <c r="B8" s="9"/>
      <c r="C8" s="9"/>
      <c r="D8" s="9"/>
      <c r="E8" s="9"/>
      <c r="F8" s="22" t="n">
        <f aca="false">N(E8)-N(B8)-N(C8)-N(D8)</f>
        <v>0</v>
      </c>
      <c r="G8" s="24" t="n">
        <f aca="false">G7+F8</f>
        <v>0</v>
      </c>
    </row>
    <row r="9" customFormat="false" ht="15" hidden="false" customHeight="false" outlineLevel="0" collapsed="false">
      <c r="A9" s="18" t="n">
        <v>3</v>
      </c>
      <c r="B9" s="9"/>
      <c r="C9" s="9"/>
      <c r="D9" s="9"/>
      <c r="E9" s="9"/>
      <c r="F9" s="22" t="n">
        <f aca="false">N(E9)-N(B9)-N(C9)-N(D9)</f>
        <v>0</v>
      </c>
      <c r="G9" s="24" t="n">
        <f aca="false">G8+F9</f>
        <v>0</v>
      </c>
    </row>
    <row r="10" customFormat="false" ht="15" hidden="false" customHeight="false" outlineLevel="0" collapsed="false">
      <c r="A10" s="18" t="n">
        <v>4</v>
      </c>
      <c r="B10" s="9"/>
      <c r="C10" s="9"/>
      <c r="D10" s="9"/>
      <c r="E10" s="9"/>
      <c r="F10" s="22" t="n">
        <f aca="false">N(E10)-N(B10)-N(C10)-N(D10)</f>
        <v>0</v>
      </c>
      <c r="G10" s="24" t="n">
        <f aca="false">G9+F10</f>
        <v>0</v>
      </c>
    </row>
    <row r="11" customFormat="false" ht="15" hidden="false" customHeight="false" outlineLevel="0" collapsed="false">
      <c r="A11" s="18" t="n">
        <v>5</v>
      </c>
      <c r="B11" s="9"/>
      <c r="C11" s="9"/>
      <c r="D11" s="9"/>
      <c r="E11" s="9"/>
      <c r="F11" s="22" t="n">
        <f aca="false">N(E11)-N(B11)-N(C11)-N(D11)</f>
        <v>0</v>
      </c>
      <c r="G11" s="24" t="n">
        <f aca="false">G10+F11</f>
        <v>0</v>
      </c>
    </row>
    <row r="12" customFormat="false" ht="15" hidden="false" customHeight="false" outlineLevel="0" collapsed="false">
      <c r="A12" s="18" t="n">
        <v>6</v>
      </c>
      <c r="B12" s="9"/>
      <c r="C12" s="9"/>
      <c r="D12" s="9"/>
      <c r="E12" s="9"/>
      <c r="F12" s="22" t="n">
        <f aca="false">N(E12)-N(B12)-N(C12)-N(D12)</f>
        <v>0</v>
      </c>
      <c r="G12" s="24" t="n">
        <f aca="false">G11+F12</f>
        <v>0</v>
      </c>
    </row>
    <row r="13" customFormat="false" ht="15" hidden="false" customHeight="false" outlineLevel="0" collapsed="false">
      <c r="A13" s="18" t="n">
        <v>7</v>
      </c>
      <c r="B13" s="9"/>
      <c r="C13" s="9"/>
      <c r="D13" s="9"/>
      <c r="E13" s="9"/>
      <c r="F13" s="22" t="n">
        <f aca="false">N(E13)-N(B13)-N(C13)-N(D13)</f>
        <v>0</v>
      </c>
      <c r="G13" s="24" t="n">
        <f aca="false">G12+F13</f>
        <v>0</v>
      </c>
    </row>
    <row r="14" customFormat="false" ht="15" hidden="false" customHeight="false" outlineLevel="0" collapsed="false">
      <c r="A14" s="18" t="n">
        <v>8</v>
      </c>
      <c r="B14" s="9"/>
      <c r="C14" s="9"/>
      <c r="D14" s="9"/>
      <c r="E14" s="9"/>
      <c r="F14" s="22" t="n">
        <f aca="false">N(E14)-N(B14)-N(C14)-N(D14)</f>
        <v>0</v>
      </c>
      <c r="G14" s="24" t="n">
        <f aca="false">G13+F14</f>
        <v>0</v>
      </c>
    </row>
    <row r="15" customFormat="false" ht="15" hidden="false" customHeight="false" outlineLevel="0" collapsed="false">
      <c r="A15" s="18" t="n">
        <v>9</v>
      </c>
      <c r="B15" s="9"/>
      <c r="C15" s="9"/>
      <c r="D15" s="9"/>
      <c r="E15" s="9"/>
      <c r="F15" s="22" t="n">
        <f aca="false">N(E15)-N(B15)-N(C15)-N(D15)</f>
        <v>0</v>
      </c>
      <c r="G15" s="24" t="n">
        <f aca="false">G14+F15</f>
        <v>0</v>
      </c>
    </row>
    <row r="16" customFormat="false" ht="15" hidden="false" customHeight="false" outlineLevel="0" collapsed="false">
      <c r="A16" s="18" t="n">
        <v>10</v>
      </c>
      <c r="B16" s="9"/>
      <c r="C16" s="9"/>
      <c r="D16" s="9"/>
      <c r="E16" s="9"/>
      <c r="F16" s="22" t="n">
        <f aca="false">N(E16)-N(B16)-N(C16)-N(D16)</f>
        <v>0</v>
      </c>
      <c r="G16" s="24" t="n">
        <f aca="false">G15+F16</f>
        <v>0</v>
      </c>
    </row>
    <row r="17" customFormat="false" ht="15" hidden="false" customHeight="false" outlineLevel="0" collapsed="false">
      <c r="A17" s="18" t="n">
        <v>11</v>
      </c>
      <c r="B17" s="9"/>
      <c r="C17" s="9"/>
      <c r="D17" s="9"/>
      <c r="E17" s="9"/>
      <c r="F17" s="22" t="n">
        <f aca="false">N(E17)-N(B17)-N(C17)-N(D17)</f>
        <v>0</v>
      </c>
      <c r="G17" s="24" t="n">
        <f aca="false">G16+F17</f>
        <v>0</v>
      </c>
    </row>
    <row r="18" customFormat="false" ht="15" hidden="false" customHeight="false" outlineLevel="0" collapsed="false">
      <c r="A18" s="18" t="n">
        <v>12</v>
      </c>
      <c r="B18" s="9"/>
      <c r="C18" s="9"/>
      <c r="D18" s="9"/>
      <c r="E18" s="9"/>
      <c r="F18" s="22" t="n">
        <f aca="false">N(E18)-N(B18)-N(C18)-N(D18)</f>
        <v>0</v>
      </c>
      <c r="G18" s="24" t="n">
        <f aca="false">G17+F18</f>
        <v>0</v>
      </c>
    </row>
    <row r="19" customFormat="false" ht="15" hidden="false" customHeight="false" outlineLevel="0" collapsed="false">
      <c r="A19" s="18" t="n">
        <v>13</v>
      </c>
      <c r="B19" s="9"/>
      <c r="C19" s="9"/>
      <c r="D19" s="9"/>
      <c r="E19" s="9"/>
      <c r="F19" s="22" t="n">
        <f aca="false">N(E19)-N(B19)-N(C19)-N(D19)</f>
        <v>0</v>
      </c>
      <c r="G19" s="24" t="n">
        <f aca="false">G18+F19</f>
        <v>0</v>
      </c>
    </row>
    <row r="20" customFormat="false" ht="15" hidden="false" customHeight="false" outlineLevel="0" collapsed="false">
      <c r="A20" s="18" t="n">
        <v>14</v>
      </c>
      <c r="B20" s="9"/>
      <c r="C20" s="9"/>
      <c r="D20" s="9"/>
      <c r="E20" s="9"/>
      <c r="F20" s="22" t="n">
        <f aca="false">N(E20)-N(B20)-N(C20)-N(D20)</f>
        <v>0</v>
      </c>
      <c r="G20" s="24" t="n">
        <f aca="false">G19+F20</f>
        <v>0</v>
      </c>
    </row>
    <row r="22" customFormat="false" ht="15" hidden="false" customHeight="false" outlineLevel="0" collapsed="false">
      <c r="A22" s="12" t="s">
        <v>109</v>
      </c>
      <c r="B22" s="12"/>
      <c r="C22" s="12"/>
      <c r="G22" s="23" t="n">
        <f aca="false">MAX(0,-MIN(G7:G20))</f>
        <v>-0</v>
      </c>
    </row>
    <row r="23" customFormat="false" ht="15" hidden="false" customHeight="false" outlineLevel="0" collapsed="false">
      <c r="A23" s="12" t="s">
        <v>110</v>
      </c>
      <c r="B23" s="12"/>
      <c r="C23" s="12"/>
      <c r="G23" s="13" t="str">
        <f aca="false">IF(MIN(G7:G20)&gt;=0,"",INDEX(A7:A20,MATCH(MIN(G7:G20),G7:G20,0)))</f>
        <v/>
      </c>
    </row>
    <row r="24" customFormat="false" ht="15" hidden="false" customHeight="false" outlineLevel="0" collapsed="false">
      <c r="A24" s="12" t="s">
        <v>111</v>
      </c>
      <c r="B24" s="12"/>
      <c r="C24" s="12"/>
      <c r="G24" s="23" t="n">
        <f aca="false">G20</f>
        <v>0</v>
      </c>
    </row>
    <row r="26" customFormat="false" ht="30" hidden="false" customHeight="true" outlineLevel="0" collapsed="false">
      <c r="A26" s="6" t="s">
        <v>112</v>
      </c>
      <c r="B26" s="6"/>
      <c r="C26" s="6"/>
      <c r="D26" s="6"/>
      <c r="E26" s="6"/>
      <c r="F26" s="6"/>
      <c r="G26" s="6"/>
    </row>
  </sheetData>
  <mergeCells count="5">
    <mergeCell ref="A4:G4"/>
    <mergeCell ref="A22:C22"/>
    <mergeCell ref="A23:C23"/>
    <mergeCell ref="A24:C24"/>
    <mergeCell ref="A26:G26"/>
  </mergeCells>
  <conditionalFormatting sqref="G7:G20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25" t="s">
        <v>115</v>
      </c>
      <c r="B4" s="10" t="n">
        <v>46346</v>
      </c>
    </row>
    <row r="5" customFormat="false" ht="15" hidden="false" customHeight="true" outlineLevel="0" collapsed="false">
      <c r="A5" s="6" t="s">
        <v>30</v>
      </c>
      <c r="B5" s="6"/>
      <c r="C5" s="6"/>
      <c r="D5" s="6"/>
    </row>
    <row r="7" customFormat="false" ht="30" hidden="false" customHeight="true" outlineLevel="0" collapsed="false">
      <c r="A7" s="3" t="s">
        <v>116</v>
      </c>
      <c r="B7" s="3" t="s">
        <v>117</v>
      </c>
      <c r="C7" s="3" t="s">
        <v>118</v>
      </c>
      <c r="D7" s="3" t="s">
        <v>119</v>
      </c>
    </row>
    <row r="8" customFormat="false" ht="25.5" hidden="false" customHeight="true" outlineLevel="0" collapsed="false">
      <c r="A8" s="5" t="s">
        <v>120</v>
      </c>
      <c r="B8" s="15" t="n">
        <v>14</v>
      </c>
      <c r="C8" s="16" t="n">
        <f aca="false">IF($B$4="","",$B$4-B8)</f>
        <v>46332</v>
      </c>
      <c r="D8" s="8"/>
    </row>
    <row r="9" customFormat="false" ht="25.5" hidden="false" customHeight="true" outlineLevel="0" collapsed="false">
      <c r="A9" s="5" t="s">
        <v>121</v>
      </c>
      <c r="B9" s="15" t="n">
        <v>13</v>
      </c>
      <c r="C9" s="16" t="n">
        <f aca="false">IF($B$4="","",$B$4-B9)</f>
        <v>46333</v>
      </c>
      <c r="D9" s="8"/>
    </row>
    <row r="10" customFormat="false" ht="25.5" hidden="false" customHeight="true" outlineLevel="0" collapsed="false">
      <c r="A10" s="5" t="s">
        <v>122</v>
      </c>
      <c r="B10" s="15" t="n">
        <v>10</v>
      </c>
      <c r="C10" s="16" t="n">
        <f aca="false">IF($B$4="","",$B$4-B10)</f>
        <v>46336</v>
      </c>
      <c r="D10" s="8"/>
    </row>
    <row r="11" customFormat="false" ht="25.5" hidden="false" customHeight="true" outlineLevel="0" collapsed="false">
      <c r="A11" s="5" t="s">
        <v>123</v>
      </c>
      <c r="B11" s="15" t="n">
        <v>8</v>
      </c>
      <c r="C11" s="16" t="n">
        <f aca="false">IF($B$4="","",$B$4-B11)</f>
        <v>46338</v>
      </c>
      <c r="D11" s="8"/>
    </row>
    <row r="12" customFormat="false" ht="25.5" hidden="false" customHeight="true" outlineLevel="0" collapsed="false">
      <c r="A12" s="5" t="s">
        <v>124</v>
      </c>
      <c r="B12" s="15" t="n">
        <v>6</v>
      </c>
      <c r="C12" s="16" t="n">
        <f aca="false">IF($B$4="","",$B$4-B12)</f>
        <v>46340</v>
      </c>
      <c r="D12" s="8"/>
    </row>
    <row r="13" customFormat="false" ht="25.5" hidden="false" customHeight="true" outlineLevel="0" collapsed="false">
      <c r="A13" s="5" t="s">
        <v>125</v>
      </c>
      <c r="B13" s="15" t="n">
        <v>5</v>
      </c>
      <c r="C13" s="16" t="n">
        <f aca="false">IF($B$4="","",$B$4-B13)</f>
        <v>46341</v>
      </c>
      <c r="D13" s="8"/>
    </row>
    <row r="14" customFormat="false" ht="25.5" hidden="false" customHeight="true" outlineLevel="0" collapsed="false">
      <c r="A14" s="5" t="s">
        <v>126</v>
      </c>
      <c r="B14" s="15" t="n">
        <v>3</v>
      </c>
      <c r="C14" s="16" t="n">
        <f aca="false">IF($B$4="","",$B$4-B14)</f>
        <v>46343</v>
      </c>
      <c r="D14" s="8"/>
    </row>
    <row r="15" customFormat="false" ht="25.5" hidden="false" customHeight="true" outlineLevel="0" collapsed="false">
      <c r="A15" s="5" t="s">
        <v>127</v>
      </c>
      <c r="B15" s="15" t="n">
        <v>2</v>
      </c>
      <c r="C15" s="16" t="n">
        <f aca="false">IF($B$4="","",$B$4-B15)</f>
        <v>46344</v>
      </c>
      <c r="D15" s="8"/>
    </row>
    <row r="16" customFormat="false" ht="25.5" hidden="false" customHeight="true" outlineLevel="0" collapsed="false">
      <c r="A16" s="5" t="s">
        <v>128</v>
      </c>
      <c r="B16" s="15" t="n">
        <v>1</v>
      </c>
      <c r="C16" s="16" t="n">
        <f aca="false">IF($B$4="","",$B$4-B16)</f>
        <v>46345</v>
      </c>
      <c r="D16" s="8"/>
    </row>
    <row r="18" customFormat="false" ht="30" hidden="false" customHeight="true" outlineLevel="0" collapsed="false">
      <c r="A18" s="14" t="s">
        <v>129</v>
      </c>
      <c r="B18" s="14"/>
      <c r="C18" s="14"/>
      <c r="D18" s="14"/>
    </row>
  </sheetData>
  <mergeCells count="2">
    <mergeCell ref="A5:D5"/>
    <mergeCell ref="A18:D18"/>
  </mergeCells>
  <dataValidations count="1">
    <dataValidation allowBlank="true" errorStyle="stop" operator="between" showDropDown="false" showErrorMessage="false" showInputMessage="false" sqref="D8:D16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8.5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42" hidden="false" customHeight="true" outlineLevel="0" collapsed="false">
      <c r="A4" s="26" t="s">
        <v>132</v>
      </c>
      <c r="B4" s="26"/>
      <c r="C4" s="26"/>
      <c r="D4" s="26"/>
      <c r="E4" s="26"/>
      <c r="F4" s="26"/>
      <c r="G4" s="26"/>
    </row>
    <row r="6" customFormat="false" ht="15" hidden="false" customHeight="true" outlineLevel="0" collapsed="false">
      <c r="A6" s="7" t="s">
        <v>133</v>
      </c>
      <c r="B6" s="7"/>
      <c r="C6" s="7"/>
      <c r="D6" s="7"/>
      <c r="E6" s="7"/>
      <c r="F6" s="7"/>
      <c r="G6" s="7"/>
    </row>
    <row r="7" customFormat="false" ht="30" hidden="false" customHeight="true" outlineLevel="0" collapsed="false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</row>
    <row r="8" customFormat="false" ht="27.75" hidden="false" customHeight="true" outlineLevel="0" collapsed="false">
      <c r="A8" s="5" t="s">
        <v>52</v>
      </c>
      <c r="B8" s="14" t="s">
        <v>134</v>
      </c>
      <c r="C8" s="8" t="s">
        <v>54</v>
      </c>
      <c r="D8" s="10" t="n">
        <v>45048</v>
      </c>
      <c r="E8" s="15"/>
      <c r="F8" s="16" t="str">
        <f aca="false">IF(OR(D8="",E8=""),"",D8+E8)</f>
        <v/>
      </c>
      <c r="G8" s="17" t="str">
        <f aca="true">IF(C8&lt;&gt;"Oui","Manquante",IF(F8="","Valide",IF(F8&lt;TODAY(),"Expirée",IF(F8-TODAY()&lt;=30,"Expire bientôt","Valide"))))</f>
        <v>Valide</v>
      </c>
    </row>
    <row r="9" customFormat="false" ht="27.75" hidden="false" customHeight="true" outlineLevel="0" collapsed="false">
      <c r="A9" s="5" t="s">
        <v>55</v>
      </c>
      <c r="B9" s="14" t="s">
        <v>134</v>
      </c>
      <c r="C9" s="8" t="s">
        <v>54</v>
      </c>
      <c r="D9" s="10" t="n">
        <v>45048</v>
      </c>
      <c r="E9" s="15"/>
      <c r="F9" s="16" t="str">
        <f aca="false">IF(OR(D9="",E9=""),"",D9+E9)</f>
        <v/>
      </c>
      <c r="G9" s="17" t="str">
        <f aca="true">IF(C9&lt;&gt;"Oui","Manquante",IF(F9="","Valide",IF(F9&lt;TODAY(),"Expirée",IF(F9-TODAY()&lt;=30,"Expire bientôt","Valide"))))</f>
        <v>Valide</v>
      </c>
    </row>
    <row r="10" customFormat="false" ht="27.75" hidden="false" customHeight="true" outlineLevel="0" collapsed="false">
      <c r="A10" s="5" t="s">
        <v>135</v>
      </c>
      <c r="B10" s="14" t="s">
        <v>136</v>
      </c>
      <c r="C10" s="8" t="s">
        <v>54</v>
      </c>
      <c r="D10" s="10" t="n">
        <v>45899</v>
      </c>
      <c r="E10" s="15" t="n">
        <v>365</v>
      </c>
      <c r="F10" s="16" t="n">
        <f aca="false">IF(OR(D10="",E10=""),"",D10+E10)</f>
        <v>46264</v>
      </c>
      <c r="G10" s="17" t="str">
        <f aca="true">IF(C10&lt;&gt;"Oui","Manquante",IF(F10="","Valide",IF(F10&lt;TODAY(),"Expirée",IF(F10-TODAY()&lt;=30,"Expire bientôt","Valide"))))</f>
        <v>Expirée</v>
      </c>
    </row>
    <row r="11" customFormat="false" ht="27.75" hidden="false" customHeight="true" outlineLevel="0" collapsed="false">
      <c r="A11" s="5" t="s">
        <v>58</v>
      </c>
      <c r="B11" s="14" t="s">
        <v>137</v>
      </c>
      <c r="C11" s="8" t="s">
        <v>138</v>
      </c>
      <c r="D11" s="10"/>
      <c r="E11" s="15"/>
      <c r="F11" s="16" t="str">
        <f aca="false">IF(OR(D11="",E11=""),"",D11+E11)</f>
        <v/>
      </c>
      <c r="G11" s="17" t="str">
        <f aca="true">IF(C11&lt;&gt;"Oui","Manquante",IF(F11="","Valide",IF(F11&lt;TODAY(),"Expirée",IF(F11-TODAY()&lt;=30,"Expire bientôt","Valide"))))</f>
        <v>Manquante</v>
      </c>
    </row>
    <row r="12" customFormat="false" ht="27.75" hidden="false" customHeight="true" outlineLevel="0" collapsed="false">
      <c r="A12" s="5" t="s">
        <v>60</v>
      </c>
      <c r="B12" s="14" t="s">
        <v>139</v>
      </c>
      <c r="C12" s="8" t="s">
        <v>138</v>
      </c>
      <c r="D12" s="10"/>
      <c r="E12" s="15"/>
      <c r="F12" s="16" t="str">
        <f aca="false">IF(OR(D12="",E12=""),"",D12+E12)</f>
        <v/>
      </c>
      <c r="G12" s="17" t="str">
        <f aca="true">IF(C12&lt;&gt;"Oui","Manquante",IF(F12="","Valide",IF(F12&lt;TODAY(),"Expirée",IF(F12-TODAY()&lt;=30,"Expire bientôt","Valide"))))</f>
        <v>Manquante</v>
      </c>
    </row>
    <row r="13" customFormat="false" ht="27.75" hidden="false" customHeight="true" outlineLevel="0" collapsed="false">
      <c r="A13" s="5" t="s">
        <v>62</v>
      </c>
      <c r="B13" s="14" t="s">
        <v>140</v>
      </c>
      <c r="C13" s="8" t="s">
        <v>138</v>
      </c>
      <c r="D13" s="10"/>
      <c r="E13" s="15"/>
      <c r="F13" s="16" t="str">
        <f aca="false">IF(OR(D13="",E13=""),"",D13+E13)</f>
        <v/>
      </c>
      <c r="G13" s="17" t="str">
        <f aca="true">IF(C13&lt;&gt;"Oui","Manquante",IF(F13="","Valide",IF(F13&lt;TODAY(),"Expirée",IF(F13-TODAY()&lt;=30,"Expire bientôt","Valide"))))</f>
        <v>Manquante</v>
      </c>
    </row>
    <row r="14" customFormat="false" ht="27.75" hidden="false" customHeight="true" outlineLevel="0" collapsed="false">
      <c r="A14" s="5" t="s">
        <v>64</v>
      </c>
      <c r="B14" s="14" t="s">
        <v>141</v>
      </c>
      <c r="C14" s="8" t="s">
        <v>138</v>
      </c>
      <c r="D14" s="10"/>
      <c r="E14" s="15"/>
      <c r="F14" s="16" t="str">
        <f aca="false">IF(OR(D14="",E14=""),"",D14+E14)</f>
        <v/>
      </c>
      <c r="G14" s="17" t="str">
        <f aca="true">IF(C14&lt;&gt;"Oui","Manquante",IF(F14="","Valide",IF(F14&lt;TODAY(),"Expirée",IF(F14-TODAY()&lt;=30,"Expire bientôt","Valide"))))</f>
        <v>Manquante</v>
      </c>
    </row>
    <row r="16" customFormat="false" ht="15" hidden="false" customHeight="false" outlineLevel="0" collapsed="false">
      <c r="A16" s="12" t="s">
        <v>70</v>
      </c>
      <c r="G16" s="13" t="n">
        <f aca="false">COUNTIF(G8:G14,"Manquante")+COUNTIF(G8:G14,"Expirée")</f>
        <v>5</v>
      </c>
    </row>
    <row r="18" customFormat="false" ht="15" hidden="false" customHeight="true" outlineLevel="0" collapsed="false">
      <c r="A18" s="7" t="s">
        <v>142</v>
      </c>
      <c r="B18" s="7"/>
      <c r="C18" s="7"/>
      <c r="D18" s="7"/>
      <c r="E18" s="7"/>
      <c r="F18" s="7"/>
      <c r="G18" s="7"/>
    </row>
    <row r="19" customFormat="false" ht="30" hidden="false" customHeight="true" outlineLevel="0" collapsed="false">
      <c r="A19" s="3" t="s">
        <v>74</v>
      </c>
      <c r="B19" s="3"/>
      <c r="C19" s="3" t="s">
        <v>75</v>
      </c>
    </row>
    <row r="20" customFormat="false" ht="15" hidden="false" customHeight="false" outlineLevel="0" collapsed="false">
      <c r="A20" s="18" t="s">
        <v>76</v>
      </c>
      <c r="B20" s="18"/>
      <c r="C20" s="15" t="n">
        <v>120</v>
      </c>
    </row>
    <row r="21" customFormat="false" ht="15" hidden="false" customHeight="false" outlineLevel="0" collapsed="false">
      <c r="A21" s="18" t="s">
        <v>77</v>
      </c>
      <c r="B21" s="18"/>
      <c r="C21" s="9" t="n">
        <v>24000</v>
      </c>
    </row>
    <row r="22" customFormat="false" ht="15" hidden="false" customHeight="false" outlineLevel="0" collapsed="false">
      <c r="A22" s="18" t="s">
        <v>78</v>
      </c>
      <c r="B22" s="18"/>
      <c r="C22" s="9" t="n">
        <v>3500</v>
      </c>
    </row>
    <row r="23" customFormat="false" ht="15" hidden="false" customHeight="false" outlineLevel="0" collapsed="false">
      <c r="A23" s="18" t="s">
        <v>79</v>
      </c>
      <c r="B23" s="18"/>
      <c r="C23" s="9" t="n">
        <v>2500</v>
      </c>
    </row>
    <row r="24" customFormat="false" ht="15" hidden="false" customHeight="false" outlineLevel="0" collapsed="false">
      <c r="A24" s="18" t="s">
        <v>80</v>
      </c>
      <c r="B24" s="18"/>
      <c r="C24" s="9" t="n">
        <v>8000</v>
      </c>
    </row>
    <row r="25" customFormat="false" ht="15" hidden="false" customHeight="false" outlineLevel="0" collapsed="false">
      <c r="A25" s="18" t="s">
        <v>81</v>
      </c>
      <c r="B25" s="18"/>
      <c r="C25" s="9" t="n">
        <v>1500</v>
      </c>
    </row>
    <row r="26" customFormat="false" ht="15" hidden="false" customHeight="false" outlineLevel="0" collapsed="false">
      <c r="A26" s="18" t="s">
        <v>82</v>
      </c>
      <c r="B26" s="18"/>
      <c r="C26" s="19" t="n">
        <v>0.1</v>
      </c>
    </row>
    <row r="27" customFormat="false" ht="15" hidden="false" customHeight="false" outlineLevel="0" collapsed="false">
      <c r="A27" s="18" t="s">
        <v>83</v>
      </c>
      <c r="B27" s="18"/>
      <c r="C27" s="9" t="n">
        <v>3600000</v>
      </c>
    </row>
    <row r="28" customFormat="false" ht="15" hidden="false" customHeight="false" outlineLevel="0" collapsed="false">
      <c r="A28" s="18" t="s">
        <v>84</v>
      </c>
      <c r="B28" s="18"/>
      <c r="C28" s="20" t="n">
        <v>0.015</v>
      </c>
    </row>
    <row r="29" customFormat="false" ht="15" hidden="false" customHeight="false" outlineLevel="0" collapsed="false">
      <c r="A29" s="18" t="s">
        <v>85</v>
      </c>
      <c r="B29" s="18"/>
      <c r="C29" s="21" t="n">
        <v>3</v>
      </c>
    </row>
    <row r="30" customFormat="false" ht="15" hidden="false" customHeight="false" outlineLevel="0" collapsed="false">
      <c r="A30" s="18" t="s">
        <v>86</v>
      </c>
      <c r="B30" s="18"/>
      <c r="C30" s="19" t="n">
        <v>0.15</v>
      </c>
    </row>
    <row r="31" customFormat="false" ht="15" hidden="false" customHeight="false" outlineLevel="0" collapsed="false">
      <c r="A31" s="18" t="s">
        <v>87</v>
      </c>
      <c r="B31" s="18"/>
      <c r="C31" s="15" t="n">
        <v>500</v>
      </c>
    </row>
    <row r="33" customFormat="false" ht="30" hidden="false" customHeight="true" outlineLevel="0" collapsed="false">
      <c r="A33" s="3" t="s">
        <v>88</v>
      </c>
      <c r="B33" s="3"/>
      <c r="C33" s="3" t="s">
        <v>89</v>
      </c>
    </row>
    <row r="34" customFormat="false" ht="15" hidden="false" customHeight="false" outlineLevel="0" collapsed="false">
      <c r="A34" s="18" t="s">
        <v>90</v>
      </c>
      <c r="B34" s="18"/>
      <c r="C34" s="22" t="n">
        <f aca="false">SUM(C21,C22,C23,C24,C25)</f>
        <v>39500</v>
      </c>
    </row>
    <row r="35" customFormat="false" ht="15" hidden="false" customHeight="false" outlineLevel="0" collapsed="false">
      <c r="A35" s="18" t="s">
        <v>91</v>
      </c>
      <c r="B35" s="18"/>
      <c r="C35" s="22" t="n">
        <f aca="false">C34*C26</f>
        <v>3950</v>
      </c>
    </row>
    <row r="36" customFormat="false" ht="15" hidden="false" customHeight="false" outlineLevel="0" collapsed="false">
      <c r="A36" s="18" t="s">
        <v>92</v>
      </c>
      <c r="B36" s="18"/>
      <c r="C36" s="22" t="n">
        <f aca="false">IF(N(C20)=0,0,C27*C28*C29/C20)</f>
        <v>1350</v>
      </c>
    </row>
    <row r="37" customFormat="false" ht="15" hidden="false" customHeight="false" outlineLevel="0" collapsed="false">
      <c r="A37" s="12" t="s">
        <v>93</v>
      </c>
      <c r="B37" s="12"/>
      <c r="C37" s="23" t="n">
        <f aca="false">SUM(C34:C36)</f>
        <v>44800</v>
      </c>
    </row>
    <row r="38" customFormat="false" ht="15" hidden="false" customHeight="false" outlineLevel="0" collapsed="false">
      <c r="A38" s="18" t="s">
        <v>94</v>
      </c>
      <c r="B38" s="18"/>
      <c r="C38" s="22" t="n">
        <f aca="false">C37*C30</f>
        <v>6720</v>
      </c>
    </row>
    <row r="39" customFormat="false" ht="15" hidden="false" customHeight="false" outlineLevel="0" collapsed="false">
      <c r="A39" s="18" t="s">
        <v>95</v>
      </c>
      <c r="B39" s="18"/>
      <c r="C39" s="22" t="n">
        <f aca="false">C37+C38</f>
        <v>51520</v>
      </c>
    </row>
    <row r="40" customFormat="false" ht="15" hidden="false" customHeight="false" outlineLevel="0" collapsed="false">
      <c r="A40" s="12" t="s">
        <v>96</v>
      </c>
      <c r="B40" s="12"/>
      <c r="C40" s="23" t="n">
        <f aca="false">IF(N(C31)=0,C39,ROUND(C39/C31,0)*C31)</f>
        <v>51500</v>
      </c>
    </row>
    <row r="41" customFormat="false" ht="15" hidden="false" customHeight="false" outlineLevel="0" collapsed="false">
      <c r="A41" s="12" t="s">
        <v>97</v>
      </c>
      <c r="B41" s="12"/>
      <c r="C41" s="23" t="n">
        <f aca="false">C40*C20</f>
        <v>6180000</v>
      </c>
    </row>
    <row r="42" customFormat="false" ht="15" hidden="false" customHeight="false" outlineLevel="0" collapsed="false">
      <c r="A42" s="18" t="s">
        <v>98</v>
      </c>
      <c r="B42" s="18"/>
      <c r="C42" s="22" t="n">
        <f aca="false">C27*C28*C29</f>
        <v>162000</v>
      </c>
    </row>
    <row r="44" customFormat="false" ht="15" hidden="false" customHeight="false" outlineLevel="0" collapsed="false">
      <c r="A44" s="18" t="s">
        <v>143</v>
      </c>
      <c r="C44" s="15" t="n">
        <v>5</v>
      </c>
    </row>
    <row r="45" customFormat="false" ht="15" hidden="false" customHeight="false" outlineLevel="0" collapsed="false">
      <c r="A45" s="12" t="s">
        <v>144</v>
      </c>
      <c r="C45" s="13" t="n">
        <f aca="false">C20/C44</f>
        <v>24</v>
      </c>
    </row>
    <row r="46" customFormat="false" ht="15" hidden="false" customHeight="false" outlineLevel="0" collapsed="false">
      <c r="A46" s="18" t="s">
        <v>145</v>
      </c>
      <c r="C46" s="15" t="n">
        <v>30</v>
      </c>
    </row>
    <row r="47" customFormat="false" ht="15" hidden="false" customHeight="false" outlineLevel="0" collapsed="false">
      <c r="A47" s="12" t="s">
        <v>146</v>
      </c>
      <c r="C47" s="27" t="str">
        <f aca="false">IF(C45&lt;=C46,"Oui","Non")</f>
        <v>Oui</v>
      </c>
    </row>
    <row r="49" customFormat="false" ht="15" hidden="false" customHeight="true" outlineLevel="0" collapsed="false">
      <c r="A49" s="7" t="s">
        <v>147</v>
      </c>
      <c r="B49" s="7"/>
      <c r="C49" s="7"/>
      <c r="D49" s="7"/>
      <c r="E49" s="7"/>
      <c r="F49" s="7"/>
      <c r="G49" s="7"/>
    </row>
    <row r="50" customFormat="false" ht="30" hidden="false" customHeight="true" outlineLevel="0" collapsed="false">
      <c r="A50" s="3" t="s">
        <v>102</v>
      </c>
      <c r="B50" s="3" t="s">
        <v>103</v>
      </c>
      <c r="C50" s="3" t="s">
        <v>104</v>
      </c>
      <c r="D50" s="3" t="s">
        <v>105</v>
      </c>
      <c r="E50" s="3" t="s">
        <v>106</v>
      </c>
      <c r="F50" s="3" t="s">
        <v>107</v>
      </c>
      <c r="G50" s="3" t="s">
        <v>108</v>
      </c>
    </row>
    <row r="51" customFormat="false" ht="15" hidden="false" customHeight="false" outlineLevel="0" collapsed="false">
      <c r="A51" s="18" t="n">
        <v>1</v>
      </c>
      <c r="B51" s="9" t="n">
        <v>1800000</v>
      </c>
      <c r="C51" s="9" t="n">
        <v>160000</v>
      </c>
      <c r="D51" s="9"/>
      <c r="E51" s="9"/>
      <c r="F51" s="22" t="n">
        <f aca="false">N(E51)-N(B51)-N(C51)-N(D51)</f>
        <v>-1960000</v>
      </c>
      <c r="G51" s="24" t="n">
        <f aca="false">F51</f>
        <v>-1960000</v>
      </c>
    </row>
    <row r="52" customFormat="false" ht="15" hidden="false" customHeight="false" outlineLevel="0" collapsed="false">
      <c r="A52" s="18" t="n">
        <v>2</v>
      </c>
      <c r="B52" s="9" t="n">
        <v>1800000</v>
      </c>
      <c r="C52" s="9" t="n">
        <v>160000</v>
      </c>
      <c r="D52" s="9"/>
      <c r="E52" s="9"/>
      <c r="F52" s="22" t="n">
        <f aca="false">N(E52)-N(B52)-N(C52)-N(D52)</f>
        <v>-1960000</v>
      </c>
      <c r="G52" s="24" t="n">
        <f aca="false">G51+F52</f>
        <v>-3920000</v>
      </c>
    </row>
    <row r="53" customFormat="false" ht="15" hidden="false" customHeight="false" outlineLevel="0" collapsed="false">
      <c r="A53" s="18" t="n">
        <v>3</v>
      </c>
      <c r="B53" s="9"/>
      <c r="C53" s="9" t="n">
        <v>160000</v>
      </c>
      <c r="D53" s="9"/>
      <c r="E53" s="9"/>
      <c r="F53" s="22" t="n">
        <f aca="false">N(E53)-N(B53)-N(C53)-N(D53)</f>
        <v>-160000</v>
      </c>
      <c r="G53" s="24" t="n">
        <f aca="false">G52+F53</f>
        <v>-4080000</v>
      </c>
    </row>
    <row r="54" customFormat="false" ht="15" hidden="false" customHeight="false" outlineLevel="0" collapsed="false">
      <c r="A54" s="18" t="n">
        <v>4</v>
      </c>
      <c r="B54" s="9"/>
      <c r="C54" s="9" t="n">
        <v>160000</v>
      </c>
      <c r="D54" s="9"/>
      <c r="E54" s="9"/>
      <c r="F54" s="22" t="n">
        <f aca="false">N(E54)-N(B54)-N(C54)-N(D54)</f>
        <v>-160000</v>
      </c>
      <c r="G54" s="24" t="n">
        <f aca="false">G53+F54</f>
        <v>-4240000</v>
      </c>
    </row>
    <row r="55" customFormat="false" ht="15" hidden="false" customHeight="false" outlineLevel="0" collapsed="false">
      <c r="A55" s="18" t="n">
        <v>5</v>
      </c>
      <c r="B55" s="9"/>
      <c r="C55" s="9" t="n">
        <v>160000</v>
      </c>
      <c r="D55" s="9"/>
      <c r="E55" s="9"/>
      <c r="F55" s="22" t="n">
        <f aca="false">N(E55)-N(B55)-N(C55)-N(D55)</f>
        <v>-160000</v>
      </c>
      <c r="G55" s="24" t="n">
        <f aca="false">G54+F55</f>
        <v>-4400000</v>
      </c>
    </row>
    <row r="56" customFormat="false" ht="15" hidden="false" customHeight="false" outlineLevel="0" collapsed="false">
      <c r="A56" s="18" t="n">
        <v>6</v>
      </c>
      <c r="B56" s="9"/>
      <c r="C56" s="9" t="n">
        <v>160000</v>
      </c>
      <c r="D56" s="9" t="n">
        <v>180000</v>
      </c>
      <c r="E56" s="9"/>
      <c r="F56" s="22" t="n">
        <f aca="false">N(E56)-N(B56)-N(C56)-N(D56)</f>
        <v>-340000</v>
      </c>
      <c r="G56" s="24" t="n">
        <f aca="false">G55+F56</f>
        <v>-4740000</v>
      </c>
    </row>
    <row r="57" customFormat="false" ht="15" hidden="false" customHeight="false" outlineLevel="0" collapsed="false">
      <c r="A57" s="18" t="n">
        <v>7</v>
      </c>
      <c r="B57" s="9"/>
      <c r="C57" s="9"/>
      <c r="D57" s="9"/>
      <c r="E57" s="9"/>
      <c r="F57" s="22" t="n">
        <f aca="false">N(E57)-N(B57)-N(C57)-N(D57)</f>
        <v>0</v>
      </c>
      <c r="G57" s="24" t="n">
        <f aca="false">G56+F57</f>
        <v>-4740000</v>
      </c>
    </row>
    <row r="58" customFormat="false" ht="15" hidden="false" customHeight="false" outlineLevel="0" collapsed="false">
      <c r="A58" s="18" t="n">
        <v>8</v>
      </c>
      <c r="B58" s="9"/>
      <c r="C58" s="9"/>
      <c r="D58" s="9"/>
      <c r="E58" s="9"/>
      <c r="F58" s="22" t="n">
        <f aca="false">N(E58)-N(B58)-N(C58)-N(D58)</f>
        <v>0</v>
      </c>
      <c r="G58" s="24" t="n">
        <f aca="false">G57+F58</f>
        <v>-4740000</v>
      </c>
    </row>
    <row r="59" customFormat="false" ht="15" hidden="false" customHeight="false" outlineLevel="0" collapsed="false">
      <c r="A59" s="18" t="n">
        <v>9</v>
      </c>
      <c r="B59" s="9"/>
      <c r="C59" s="9"/>
      <c r="D59" s="9"/>
      <c r="E59" s="9"/>
      <c r="F59" s="22" t="n">
        <f aca="false">N(E59)-N(B59)-N(C59)-N(D59)</f>
        <v>0</v>
      </c>
      <c r="G59" s="24" t="n">
        <f aca="false">G58+F59</f>
        <v>-4740000</v>
      </c>
    </row>
    <row r="60" customFormat="false" ht="15" hidden="false" customHeight="false" outlineLevel="0" collapsed="false">
      <c r="A60" s="18" t="n">
        <v>10</v>
      </c>
      <c r="B60" s="9"/>
      <c r="C60" s="9"/>
      <c r="D60" s="9"/>
      <c r="E60" s="9"/>
      <c r="F60" s="22" t="n">
        <f aca="false">N(E60)-N(B60)-N(C60)-N(D60)</f>
        <v>0</v>
      </c>
      <c r="G60" s="24" t="n">
        <f aca="false">G59+F60</f>
        <v>-4740000</v>
      </c>
    </row>
    <row r="61" customFormat="false" ht="15" hidden="false" customHeight="false" outlineLevel="0" collapsed="false">
      <c r="A61" s="18" t="n">
        <v>11</v>
      </c>
      <c r="B61" s="9"/>
      <c r="C61" s="9"/>
      <c r="D61" s="9"/>
      <c r="E61" s="9"/>
      <c r="F61" s="22" t="n">
        <f aca="false">N(E61)-N(B61)-N(C61)-N(D61)</f>
        <v>0</v>
      </c>
      <c r="G61" s="24" t="n">
        <f aca="false">G60+F61</f>
        <v>-4740000</v>
      </c>
    </row>
    <row r="62" customFormat="false" ht="15" hidden="false" customHeight="false" outlineLevel="0" collapsed="false">
      <c r="A62" s="18" t="n">
        <v>12</v>
      </c>
      <c r="B62" s="9"/>
      <c r="C62" s="9"/>
      <c r="D62" s="9"/>
      <c r="E62" s="9"/>
      <c r="F62" s="22" t="n">
        <f aca="false">N(E62)-N(B62)-N(C62)-N(D62)</f>
        <v>0</v>
      </c>
      <c r="G62" s="24" t="n">
        <f aca="false">G61+F62</f>
        <v>-4740000</v>
      </c>
    </row>
    <row r="63" customFormat="false" ht="15" hidden="false" customHeight="false" outlineLevel="0" collapsed="false">
      <c r="A63" s="18" t="n">
        <v>13</v>
      </c>
      <c r="B63" s="9"/>
      <c r="C63" s="9"/>
      <c r="D63" s="9"/>
      <c r="E63" s="9" t="n">
        <v>6180000</v>
      </c>
      <c r="F63" s="22" t="n">
        <f aca="false">N(E63)-N(B63)-N(C63)-N(D63)</f>
        <v>6180000</v>
      </c>
      <c r="G63" s="24" t="n">
        <f aca="false">G62+F63</f>
        <v>1440000</v>
      </c>
    </row>
    <row r="64" customFormat="false" ht="15" hidden="false" customHeight="false" outlineLevel="0" collapsed="false">
      <c r="A64" s="18" t="n">
        <v>14</v>
      </c>
      <c r="B64" s="9"/>
      <c r="C64" s="9"/>
      <c r="D64" s="9"/>
      <c r="E64" s="9"/>
      <c r="F64" s="22" t="n">
        <f aca="false">N(E64)-N(B64)-N(C64)-N(D64)</f>
        <v>0</v>
      </c>
      <c r="G64" s="24" t="n">
        <f aca="false">G63+F64</f>
        <v>1440000</v>
      </c>
    </row>
    <row r="66" customFormat="false" ht="15" hidden="false" customHeight="false" outlineLevel="0" collapsed="false">
      <c r="A66" s="12" t="s">
        <v>109</v>
      </c>
      <c r="B66" s="12"/>
      <c r="C66" s="12"/>
      <c r="G66" s="23" t="n">
        <f aca="false">MAX(0,-MIN(G51:G64))</f>
        <v>4740000</v>
      </c>
    </row>
    <row r="67" customFormat="false" ht="15" hidden="false" customHeight="false" outlineLevel="0" collapsed="false">
      <c r="A67" s="12" t="s">
        <v>110</v>
      </c>
      <c r="B67" s="12"/>
      <c r="C67" s="12"/>
      <c r="G67" s="13" t="n">
        <f aca="false">IF(MIN(G51:G64)&gt;=0,"",INDEX(A51:A64,MATCH(MIN(G51:G64),G51:G64,0)))</f>
        <v>6</v>
      </c>
    </row>
    <row r="68" customFormat="false" ht="15" hidden="false" customHeight="false" outlineLevel="0" collapsed="false">
      <c r="A68" s="12" t="s">
        <v>111</v>
      </c>
      <c r="B68" s="12"/>
      <c r="C68" s="12"/>
      <c r="G68" s="23" t="n">
        <f aca="false">G64</f>
        <v>1440000</v>
      </c>
    </row>
  </sheetData>
  <mergeCells count="30">
    <mergeCell ref="A4:G4"/>
    <mergeCell ref="A6:G6"/>
    <mergeCell ref="A18:G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9:G49"/>
    <mergeCell ref="A66:C66"/>
    <mergeCell ref="A67:C67"/>
    <mergeCell ref="A68:C68"/>
  </mergeCells>
  <conditionalFormatting sqref="G8:G14">
    <cfRule type="expression" priority="2" aboveAverage="0" equalAverage="0" bottom="0" percent="0" rank="0" text="" dxfId="0">
      <formula>OR(G8="Manquante",G8="Expirée")</formula>
    </cfRule>
    <cfRule type="expression" priority="3" aboveAverage="0" equalAverage="0" bottom="0" percent="0" rank="0" text="" dxfId="1">
      <formula>G8="Expire bientôt"</formula>
    </cfRule>
    <cfRule type="expression" priority="4" aboveAverage="0" equalAverage="0" bottom="0" percent="0" rank="0" text="" dxfId="2">
      <formula>G8="Valide"</formula>
    </cfRule>
  </conditionalFormatting>
  <conditionalFormatting sqref="G51:G64">
    <cfRule type="cellIs" priority="5" operator="lessThan" aboveAverage="0" equalAverage="0" bottom="0" percent="0" rank="0" text="" dxfId="3">
      <formula>0</formula>
    </cfRule>
  </conditionalFormatting>
  <dataValidations count="1">
    <dataValidation allowBlank="true" errorStyle="stop" operator="between" showDropDown="false" showErrorMessage="false" showInputMessage="false" sqref="C8:C14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2026-10-30T13:12:14Z</dcterms:created>
  <dc:creator>openpyxl</dc:creator>
  <dc:description/>
  <dc:language>en-US</dc:language>
  <cp:lastModifiedBy/>
  <dcterms:modified xsi:type="dcterms:W3CDTF">2026-10-30T13:12:14Z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