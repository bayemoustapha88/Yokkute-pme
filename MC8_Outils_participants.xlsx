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_d_emploi" sheetId="1" state="visible" r:id="rId3"/>
    <sheet name="Cout_salarie" sheetId="2" state="visible" r:id="rId4"/>
    <sheet name="Demarches_employeur" sheetId="3" state="visible" r:id="rId5"/>
    <sheet name="Registre_employeur" sheetId="4" state="visible" r:id="rId6"/>
    <sheet name="Calendrier_employeur" sheetId="5" state="visible" r:id="rId7"/>
    <sheet name="Autorisation_activite" sheetId="6" state="visible" r:id="rId8"/>
    <sheet name="Cas_Mame_Diarr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<sst xmlns="http://schemas.openxmlformats.org/spreadsheetml/2006/main" count="191" uniqueCount="154">
  <si>
    <t xml:space="preserve">MC8 · Employeur en règle</t>
  </si>
  <si>
    <t xml:space="preserve">Outils participants · Volet Formalisation U4, U5, U6 et module M6 · CADE / CCIAK</t>
  </si>
  <si>
    <t xml:space="preserve">Onglet</t>
  </si>
  <si>
    <t xml:space="preserve">Usage</t>
  </si>
  <si>
    <t xml:space="preserve">Cout_salarie</t>
  </si>
  <si>
    <t xml:space="preserve">Les cotisations employeur et salarié de chaque employé et le coût total ; taux et plafonds modifiables.</t>
  </si>
  <si>
    <t xml:space="preserve">Demarches_employeur</t>
  </si>
  <si>
    <t xml:space="preserve">Les six démarches d'un employeur en règle, l'organisme, la date prévue et le statut.</t>
  </si>
  <si>
    <t xml:space="preserve">Registre_employeur</t>
  </si>
  <si>
    <t xml:space="preserve">Modèle de registre de l'employeur : identité, emploi, contrat, dates, salaire, numéros IPRES et CSS.</t>
  </si>
  <si>
    <t xml:space="preserve">Calendrier_employeur</t>
  </si>
  <si>
    <t xml:space="preserve">Les échéances de déclaration et de paiement ; les retards sont signalés.</t>
  </si>
  <si>
    <t xml:space="preserve">Autorisation_activite</t>
  </si>
  <si>
    <t xml:space="preserve">L'autorisation propre à mon activité (FRA, licence, agrément) et les pièces du dossier.</t>
  </si>
  <si>
    <t xml:space="preserve">Cas_Mame_Diarra</t>
  </si>
  <si>
    <t xml:space="preserve">Le cas pratique de la séance, avec son corrigé chiffré.</t>
  </si>
  <si>
    <t xml:space="preserve">Cellules jaunes à texte bleu : à remplir. Taux et plafonds : CLEISS, au 1er janvier 2026. Ils sont indicatifs : faites-les confirmer par l'IPRES et la CSS. La retenue d'impôt sur le revenu et la cotisation IPM ne sont pas calculées ici.</t>
  </si>
  <si>
    <t xml:space="preserve">Coût d'un salarié déclaré</t>
  </si>
  <si>
    <t xml:space="preserve">Cotisations IPRES et CSS, hors IPM et hors retenue d'impôt sur le revenu</t>
  </si>
  <si>
    <t xml:space="preserve">Cellules jaunes à texte bleu : à remplir. Cellules blanches : calculées automatiquement, ne pas modifier.</t>
  </si>
  <si>
    <t xml:space="preserve">Paramètre</t>
  </si>
  <si>
    <t xml:space="preserve">Valeur</t>
  </si>
  <si>
    <t xml:space="preserve">IPRES régime général · taux employeur</t>
  </si>
  <si>
    <t xml:space="preserve">IPRES régime général · taux salarié</t>
  </si>
  <si>
    <t xml:space="preserve">IPRES · plafond mensuel (FCFA)</t>
  </si>
  <si>
    <t xml:space="preserve">CSS prestations familiales · taux employeur</t>
  </si>
  <si>
    <t xml:space="preserve">CSS · plafond mensuel (FCFA)</t>
  </si>
  <si>
    <t xml:space="preserve">CSS accidents du travail · taux employeur (1 %, 3 % ou 5 % selon le risque)</t>
  </si>
  <si>
    <t xml:space="preserve">SMIG mensuel indicatif (FCFA, 173,33 h × 370,526)</t>
  </si>
  <si>
    <t xml:space="preserve">Employé</t>
  </si>
  <si>
    <t xml:space="preserve">Poste</t>
  </si>
  <si>
    <t xml:space="preserve">Salaire brut mensuel</t>
  </si>
  <si>
    <t xml:space="preserve">IPRES employeur</t>
  </si>
  <si>
    <t xml:space="preserve">Prestations familiales</t>
  </si>
  <si>
    <t xml:space="preserve">Accidents du travail</t>
  </si>
  <si>
    <t xml:space="preserve">Total employeur</t>
  </si>
  <si>
    <t xml:space="preserve">IPRES salarié</t>
  </si>
  <si>
    <t xml:space="preserve">Coût total employeur</t>
  </si>
  <si>
    <t xml:space="preserve">Sous le SMIG ?</t>
  </si>
  <si>
    <t xml:space="preserve">Exemple : Awa</t>
  </si>
  <si>
    <t xml:space="preserve">Production</t>
  </si>
  <si>
    <t xml:space="preserve">Total mensuel</t>
  </si>
  <si>
    <t xml:space="preserve">Total annuel (× 12)</t>
  </si>
  <si>
    <t xml:space="preserve">Hausse du coût due aux cotisations</t>
  </si>
  <si>
    <t xml:space="preserve">Les cotisations IPRES « salarié » sont retenues sur le salaire brut. La retenue d'impôt sur le revenu, calculée selon le barème en vigueur, et la cotisation à l'IPM s'ajoutent : faites-les calculer lors de la première paie.</t>
  </si>
  <si>
    <t xml:space="preserve">Les démarches d'un employeur en règle</t>
  </si>
  <si>
    <t xml:space="preserve">À cocher au fur et à mesure</t>
  </si>
  <si>
    <t xml:space="preserve">N°</t>
  </si>
  <si>
    <t xml:space="preserve">Démarche</t>
  </si>
  <si>
    <t xml:space="preserve">Auprès de qui</t>
  </si>
  <si>
    <t xml:space="preserve">Date prévue</t>
  </si>
  <si>
    <t xml:space="preserve">Date réalisée</t>
  </si>
  <si>
    <t xml:space="preserve">Statut</t>
  </si>
  <si>
    <t xml:space="preserve">Déclaration d'établissement</t>
  </si>
  <si>
    <t xml:space="preserve">Inspection régionale du travail</t>
  </si>
  <si>
    <t xml:space="preserve">Immatriculation de l'employeur</t>
  </si>
  <si>
    <t xml:space="preserve">IPRES et CSS</t>
  </si>
  <si>
    <t xml:space="preserve">Déclaration de chaque embauche (sous 8 jours, à confirmer)</t>
  </si>
  <si>
    <t xml:space="preserve">Contrat de travail écrit signé</t>
  </si>
  <si>
    <t xml:space="preserve">Employeur et employé (modèle MC5)</t>
  </si>
  <si>
    <t xml:space="preserve">Registre de l'employeur ouvert et à jour</t>
  </si>
  <si>
    <t xml:space="preserve">Employeur ; forme à vérifier à l'Inspection</t>
  </si>
  <si>
    <t xml:space="preserve">Bulletin de paie remis à chaque paie</t>
  </si>
  <si>
    <t xml:space="preserve">Employeur</t>
  </si>
  <si>
    <t xml:space="preserve">Démarches faites</t>
  </si>
  <si>
    <t xml:space="preserve">Registre de l'employeur</t>
  </si>
  <si>
    <t xml:space="preserve">Une ligne par employé · mise à jour à chaque entrée, sortie ou changement · forme à faire vérifier par l'Inspection du travail</t>
  </si>
  <si>
    <t xml:space="preserve">Entreprise, NINEA</t>
  </si>
  <si>
    <t xml:space="preserve">Prénom et nom</t>
  </si>
  <si>
    <t xml:space="preserve">Date de naissance</t>
  </si>
  <si>
    <t xml:space="preserve">N° pièce d'identité</t>
  </si>
  <si>
    <t xml:space="preserve">Emploi</t>
  </si>
  <si>
    <t xml:space="preserve">Contrat</t>
  </si>
  <si>
    <t xml:space="preserve">Date d'entrée</t>
  </si>
  <si>
    <t xml:space="preserve">Date de sortie</t>
  </si>
  <si>
    <t xml:space="preserve">N° IPRES</t>
  </si>
  <si>
    <t xml:space="preserve">N° CSS</t>
  </si>
  <si>
    <t xml:space="preserve">Exemple : Awa D.</t>
  </si>
  <si>
    <t xml:space="preserve">[n°]</t>
  </si>
  <si>
    <t xml:space="preserve">Transformation</t>
  </si>
  <si>
    <t xml:space="preserve">CDI</t>
  </si>
  <si>
    <t xml:space="preserve">Employés présents</t>
  </si>
  <si>
    <t xml:space="preserve">Sans n° IPRES</t>
  </si>
  <si>
    <t xml:space="preserve">Calendrier de l'employeur</t>
  </si>
  <si>
    <t xml:space="preserve">Moins de 20 salariés : déclaration et paiement IPRES trimestriels, au 15 du mois suivant le trimestre (mensuel possible sur option)</t>
  </si>
  <si>
    <t xml:space="preserve">Échéance</t>
  </si>
  <si>
    <t xml:space="preserve">Date limite</t>
  </si>
  <si>
    <t xml:space="preserve">Remarque</t>
  </si>
  <si>
    <t xml:space="preserve">Cotisations du 4e trimestre 2026 (octobre à décembre)</t>
  </si>
  <si>
    <t xml:space="preserve">Déclaration annuelle des salaires 2026 à l'IPRES</t>
  </si>
  <si>
    <t xml:space="preserve">État annuel des salaires aux impôts (date fixée chaque année)</t>
  </si>
  <si>
    <t xml:space="preserve">Cotisations du 1er trimestre 2027</t>
  </si>
  <si>
    <t xml:space="preserve">Cotisations du 2e trimestre 2027</t>
  </si>
  <si>
    <t xml:space="preserve">Cotisations du 3e trimestre 2027</t>
  </si>
  <si>
    <t xml:space="preserve">Cotisations du 4e trimestre 2027</t>
  </si>
  <si>
    <t xml:space="preserve">Retenue d'impôt sur le revenu : reversement selon le calendrier du CSF</t>
  </si>
  <si>
    <t xml:space="preserve">Source : Izipaie, septembre 2026. Les majorations de retard sont mensuelles et cumulatives. Faites confirmer les dates par l'IPRES, la CSS et le CSF.</t>
  </si>
  <si>
    <t xml:space="preserve">L'autorisation propre à mon activité</t>
  </si>
  <si>
    <t xml:space="preserve">Unité U6 · repérer l'exigence avant qu'un client ne la demande</t>
  </si>
  <si>
    <t xml:space="preserve">Activité</t>
  </si>
  <si>
    <t xml:space="preserve">Autorisation</t>
  </si>
  <si>
    <t xml:space="preserve">Où se renseigner</t>
  </si>
  <si>
    <t xml:space="preserve">Transformation alimentaire : jus, céréales, condiments, produits emballés</t>
  </si>
  <si>
    <t xml:space="preserve">Autorisation de fabrication et de mise en vente, dite FRA (décret n° 68-507)</t>
  </si>
  <si>
    <t xml:space="preserve">Service régional du commerce, Kaolack</t>
  </si>
  <si>
    <t xml:space="preserve">Transport de personnes ou de marchandises</t>
  </si>
  <si>
    <t xml:space="preserve">Licence ou autorisation de transport</t>
  </si>
  <si>
    <t xml:space="preserve">Services régionaux des transports</t>
  </si>
  <si>
    <t xml:space="preserve">Santé, éducation, sécurité, autres activités réglementées</t>
  </si>
  <si>
    <t xml:space="preserve">Agrément du ministère concerné</t>
  </si>
  <si>
    <t xml:space="preserve">Service régional du ministère</t>
  </si>
  <si>
    <t xml:space="preserve">Mon activité</t>
  </si>
  <si>
    <t xml:space="preserve">Autorisation exigée</t>
  </si>
  <si>
    <t xml:space="preserve">Service compétent</t>
  </si>
  <si>
    <t xml:space="preserve">Pièce du dossier (exemple FRA, à confirmer)</t>
  </si>
  <si>
    <t xml:space="preserve">Je l'ai ?</t>
  </si>
  <si>
    <t xml:space="preserve">Demande adressée au ministre chargé du Commerce</t>
  </si>
  <si>
    <t xml:space="preserve">Composition du produit</t>
  </si>
  <si>
    <t xml:space="preserve">Prix de revient (calcul MC1)</t>
  </si>
  <si>
    <t xml:space="preserve">Nom et adresse du fabricant (NINEA, RCCM)</t>
  </si>
  <si>
    <t xml:space="preserve">Échantillons-témoins pour analyse (quatre selon le décret)</t>
  </si>
  <si>
    <t xml:space="preserve">Étiquette : dénomination, composition, poids, date limite, fabricant</t>
  </si>
  <si>
    <t xml:space="preserve">Frais d'analyse (montant à demander)</t>
  </si>
  <si>
    <t xml:space="preserve">Pièces réunies</t>
  </si>
  <si>
    <t xml:space="preserve">Date de dépôt prévue</t>
  </si>
  <si>
    <t xml:space="preserve">Cas pratique · Mame Diarra, transformatrice de céréales et de jus</t>
  </si>
  <si>
    <t xml:space="preserve">Énoncé et corrigé chiffré</t>
  </si>
  <si>
    <t xml:space="preserve">Entreprise individuelle immatriculée depuis deux ans à Kaolack. Thiakry, arraw, jus de bissap et de bouye. Ventes d'environ 1 900 000 FCFA par mois, marge brute de 40 %. Trois employées non déclarées, une apprentie. Un supermarché exige le numéro FRA. Le mois dernier, Awa s'est brûlée au cuiseur : Mame Diarra a payé seule les soins et deux semaines de salaire.</t>
  </si>
  <si>
    <t xml:space="preserve">Khadija</t>
  </si>
  <si>
    <t xml:space="preserve">Resp. production</t>
  </si>
  <si>
    <t xml:space="preserve">Awa</t>
  </si>
  <si>
    <t xml:space="preserve">Ndeye</t>
  </si>
  <si>
    <t xml:space="preserve">Ventes mensuelles</t>
  </si>
  <si>
    <t xml:space="preserve">Taux de marge brute</t>
  </si>
  <si>
    <t xml:space="preserve">Marge brute mensuelle</t>
  </si>
  <si>
    <t xml:space="preserve">Cotisations employeur / ventes</t>
  </si>
  <si>
    <t xml:space="preserve">Cotisations employeur / marge brute</t>
  </si>
  <si>
    <t xml:space="preserve">Versement trimestriel IPRES (employeur + salarié)</t>
  </si>
  <si>
    <t xml:space="preserve">Versement trimestriel CSS</t>
  </si>
  <si>
    <t xml:space="preserve">Partie C · calendrier de régularisation sur six semaines</t>
  </si>
  <si>
    <t xml:space="preserve">Semaine</t>
  </si>
  <si>
    <t xml:space="preserve">Action</t>
  </si>
  <si>
    <t xml:space="preserve">1</t>
  </si>
  <si>
    <t xml:space="preserve">Déclaration d'établissement ; demande du registre de l'employeur</t>
  </si>
  <si>
    <t xml:space="preserve">1 et 2</t>
  </si>
  <si>
    <t xml:space="preserve">Immatriculation de l'employeur à l'IPRES et à la CSS ; déclaration des trois employées</t>
  </si>
  <si>
    <t xml:space="preserve">2</t>
  </si>
  <si>
    <t xml:space="preserve">Contrats écrits signés ; registre ouvert ; réunion d'explication avec l'équipe</t>
  </si>
  <si>
    <t xml:space="preserve">3</t>
  </si>
  <si>
    <t xml:space="preserve">Dossier FRA du premier produit ; étiquette mise en conformité</t>
  </si>
  <si>
    <t xml:space="preserve">4</t>
  </si>
  <si>
    <t xml:space="preserve">Dépôt du dossier FRA ; renseignement sur l'adhésion à une IPM</t>
  </si>
  <si>
    <t xml:space="preserve">6</t>
  </si>
  <si>
    <t xml:space="preserve">Premiers bulletins de paie ; première déclaration trimestrielle au 15 du mois suivant le trimestre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</si>
</sst>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#,##0;\-#,##0;\-"/>
    <numFmt numFmtId="167" formatCode="@"/>
    <numFmt numFmtId="168" formatCode="dd/mm/yyyy"/>
    <numFmt numFmtId="169" formatCode="0"/>
    <numFmt numFmtId="170" formatCode="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7342C"/>
      <name val="Arial"/>
      <family val="0"/>
      <charset val="1"/>
    </font>
    <font>
      <i val="true"/>
      <sz val="9"/>
      <color rgb="FF56655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18241F"/>
      <name val="Arial"/>
      <family val="0"/>
      <charset val="1"/>
    </font>
    <font>
      <b val="true"/>
      <sz val="11"/>
      <color rgb="FF17342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42C"/>
        <bgColor rgb="FF18241F"/>
      </patternFill>
    </fill>
    <fill>
      <patternFill patternType="solid">
        <fgColor rgb="FFFFF6DC"/>
        <bgColor rgb="FFFBEBEB"/>
      </patternFill>
    </fill>
    <fill>
      <patternFill patternType="solid">
        <fgColor rgb="FFF6E7D2"/>
        <bgColor rgb="FFFBEBEB"/>
      </patternFill>
    </fill>
    <fill>
      <patternFill patternType="solid">
        <fgColor rgb="FFEAEEE8"/>
        <bgColor rgb="FFE5F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2BC"/>
      </left>
      <right style="thin">
        <color rgb="FFB7C2BC"/>
      </right>
      <top style="thin">
        <color rgb="FFB7C2BC"/>
      </top>
      <bottom style="thin">
        <color rgb="FFB7C2B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b val="1"/>
        <color rgb="FF9C0006"/>
      </font>
      <fill>
        <patternFill>
          <bgColor rgb="FFFBEBEB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E5F4E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C2BC"/>
      <rgbColor rgb="FF808080"/>
      <rgbColor rgb="FF9999FF"/>
      <rgbColor rgb="FF993366"/>
      <rgbColor rgb="FFFFF6DC"/>
      <rgbColor rgb="FFEAEE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BEB"/>
      <rgbColor rgb="FFE5F4E4"/>
      <rgbColor rgb="FFF6E7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55F"/>
      <rgbColor rgb="FF969696"/>
      <rgbColor rgb="FF003366"/>
      <rgbColor rgb="FF339966"/>
      <rgbColor rgb="FF18241F"/>
      <rgbColor rgb="FF333300"/>
      <rgbColor rgb="FF993300"/>
      <rgbColor rgb="FF993366"/>
      <rgbColor rgb="FF333399"/>
      <rgbColor rgb="FF1734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30" hidden="false" customHeight="true" outlineLevel="0" collapsed="false">
      <c r="A5" s="3" t="s">
        <v>2</v>
      </c>
      <c r="B5" s="3" t="s">
        <v>3</v>
      </c>
    </row>
    <row r="6" customFormat="false" ht="30" hidden="false" customHeight="true" outlineLevel="0" collapsed="false">
      <c r="A6" s="4" t="s">
        <v>4</v>
      </c>
      <c r="B6" s="5" t="s">
        <v>5</v>
      </c>
    </row>
    <row r="7" customFormat="false" ht="30" hidden="false" customHeight="true" outlineLevel="0" collapsed="false">
      <c r="A7" s="4" t="s">
        <v>6</v>
      </c>
      <c r="B7" s="5" t="s">
        <v>7</v>
      </c>
    </row>
    <row r="8" customFormat="false" ht="30" hidden="false" customHeight="true" outlineLevel="0" collapsed="false">
      <c r="A8" s="4" t="s">
        <v>8</v>
      </c>
      <c r="B8" s="5" t="s">
        <v>9</v>
      </c>
    </row>
    <row r="9" customFormat="false" ht="30" hidden="false" customHeight="true" outlineLevel="0" collapsed="false">
      <c r="A9" s="4" t="s">
        <v>10</v>
      </c>
      <c r="B9" s="5" t="s">
        <v>11</v>
      </c>
    </row>
    <row r="10" customFormat="false" ht="30" hidden="false" customHeight="true" outlineLevel="0" collapsed="false">
      <c r="A10" s="4" t="s">
        <v>12</v>
      </c>
      <c r="B10" s="5" t="s">
        <v>13</v>
      </c>
    </row>
    <row r="11" customFormat="false" ht="30" hidden="false" customHeight="true" outlineLevel="0" collapsed="false">
      <c r="A11" s="4" t="s">
        <v>14</v>
      </c>
      <c r="B11" s="5" t="s">
        <v>15</v>
      </c>
    </row>
    <row r="13" customFormat="false" ht="42" hidden="false" customHeight="true" outlineLevel="0" collapsed="false">
      <c r="A13" s="6" t="s">
        <v>16</v>
      </c>
      <c r="B13" s="6"/>
    </row>
  </sheetData>
  <mergeCells count="1">
    <mergeCell ref="A13:B13"/>
  </mergeCell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8" min="4" style="0" width="13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18.55" hidden="false" customHeight="false" outlineLevel="0" collapsed="false">
      <c r="A1" s="1" t="s">
        <v>17</v>
      </c>
    </row>
    <row r="2" customFormat="false" ht="15" hidden="false" customHeight="false" outlineLevel="0" collapsed="false">
      <c r="A2" s="2" t="s">
        <v>18</v>
      </c>
    </row>
    <row r="4" customFormat="false" ht="15" hidden="false" customHeight="true" outlineLevel="0" collapsed="false">
      <c r="A4" s="6" t="s">
        <v>19</v>
      </c>
      <c r="B4" s="6"/>
      <c r="C4" s="6"/>
      <c r="D4" s="6"/>
      <c r="E4" s="6"/>
      <c r="F4" s="6"/>
      <c r="G4" s="6"/>
      <c r="H4" s="6"/>
      <c r="I4" s="6"/>
      <c r="J4" s="6"/>
    </row>
    <row r="6" customFormat="false" ht="30" hidden="false" customHeight="true" outlineLevel="0" collapsed="false">
      <c r="A6" s="3" t="s">
        <v>20</v>
      </c>
      <c r="B6" s="3"/>
      <c r="C6" s="3"/>
      <c r="D6" s="3" t="s">
        <v>21</v>
      </c>
    </row>
    <row r="7" customFormat="false" ht="15" hidden="false" customHeight="true" outlineLevel="0" collapsed="false">
      <c r="A7" s="5" t="s">
        <v>22</v>
      </c>
      <c r="B7" s="5"/>
      <c r="C7" s="5"/>
      <c r="D7" s="7" t="n">
        <v>0.084</v>
      </c>
    </row>
    <row r="8" customFormat="false" ht="15" hidden="false" customHeight="true" outlineLevel="0" collapsed="false">
      <c r="A8" s="5" t="s">
        <v>23</v>
      </c>
      <c r="B8" s="5"/>
      <c r="C8" s="5"/>
      <c r="D8" s="7" t="n">
        <v>0.056</v>
      </c>
    </row>
    <row r="9" customFormat="false" ht="15" hidden="false" customHeight="true" outlineLevel="0" collapsed="false">
      <c r="A9" s="5" t="s">
        <v>24</v>
      </c>
      <c r="B9" s="5"/>
      <c r="C9" s="5"/>
      <c r="D9" s="8" t="n">
        <v>432000</v>
      </c>
    </row>
    <row r="10" customFormat="false" ht="15" hidden="false" customHeight="true" outlineLevel="0" collapsed="false">
      <c r="A10" s="5" t="s">
        <v>25</v>
      </c>
      <c r="B10" s="5"/>
      <c r="C10" s="5"/>
      <c r="D10" s="7" t="n">
        <v>0.07</v>
      </c>
    </row>
    <row r="11" customFormat="false" ht="15" hidden="false" customHeight="true" outlineLevel="0" collapsed="false">
      <c r="A11" s="5" t="s">
        <v>26</v>
      </c>
      <c r="B11" s="5"/>
      <c r="C11" s="5"/>
      <c r="D11" s="8" t="n">
        <v>63000</v>
      </c>
    </row>
    <row r="12" customFormat="false" ht="23.85" hidden="false" customHeight="true" outlineLevel="0" collapsed="false">
      <c r="A12" s="5" t="s">
        <v>27</v>
      </c>
      <c r="B12" s="5"/>
      <c r="C12" s="5"/>
      <c r="D12" s="7" t="n">
        <v>0.01</v>
      </c>
    </row>
    <row r="13" customFormat="false" ht="15" hidden="false" customHeight="true" outlineLevel="0" collapsed="false">
      <c r="A13" s="5" t="s">
        <v>28</v>
      </c>
      <c r="B13" s="5"/>
      <c r="C13" s="5"/>
      <c r="D13" s="9" t="n">
        <f aca="false">ROUND(173.33*370.526,0)</f>
        <v>64223</v>
      </c>
    </row>
    <row r="15" customFormat="false" ht="30" hidden="false" customHeight="true" outlineLevel="0" collapsed="false">
      <c r="A15" s="3" t="s">
        <v>29</v>
      </c>
      <c r="B15" s="3" t="s">
        <v>30</v>
      </c>
      <c r="C15" s="3" t="s">
        <v>31</v>
      </c>
      <c r="D15" s="3" t="s">
        <v>32</v>
      </c>
      <c r="E15" s="3" t="s">
        <v>33</v>
      </c>
      <c r="F15" s="3" t="s">
        <v>34</v>
      </c>
      <c r="G15" s="3" t="s">
        <v>35</v>
      </c>
      <c r="H15" s="3" t="s">
        <v>36</v>
      </c>
      <c r="I15" s="3" t="s">
        <v>37</v>
      </c>
      <c r="J15" s="3" t="s">
        <v>38</v>
      </c>
    </row>
    <row r="16" customFormat="false" ht="15" hidden="false" customHeight="false" outlineLevel="0" collapsed="false">
      <c r="A16" s="10" t="s">
        <v>39</v>
      </c>
      <c r="B16" s="10" t="s">
        <v>40</v>
      </c>
      <c r="C16" s="8" t="n">
        <v>80000</v>
      </c>
      <c r="D16" s="9" t="n">
        <f aca="false">IF(C16="","",ROUND(MIN(C16,$D$9)*$D$7,0))</f>
        <v>6720</v>
      </c>
      <c r="E16" s="9" t="n">
        <f aca="false">IF(C16="","",ROUND(MIN(C16,$D$11)*$D$10,0))</f>
        <v>4410</v>
      </c>
      <c r="F16" s="9" t="n">
        <f aca="false">IF(C16="","",ROUND(MIN(C16,$D$11)*$D$12,0))</f>
        <v>630</v>
      </c>
      <c r="G16" s="11" t="n">
        <f aca="false">IF(C16="","",SUM(D16:F16))</f>
        <v>11760</v>
      </c>
      <c r="H16" s="9" t="n">
        <f aca="false">IF(C16="","",ROUND(MIN(C16,$D$9)*$D$8,0))</f>
        <v>4480</v>
      </c>
      <c r="I16" s="11" t="n">
        <f aca="false">IF(C16="","",C16+G16)</f>
        <v>91760</v>
      </c>
      <c r="J16" s="12" t="str">
        <f aca="false">IF(C16="","",IF(C16&lt;$D$13,"OUI",""))</f>
        <v/>
      </c>
    </row>
    <row r="17" customFormat="false" ht="15" hidden="false" customHeight="false" outlineLevel="0" collapsed="false">
      <c r="A17" s="10"/>
      <c r="B17" s="10"/>
      <c r="C17" s="8"/>
      <c r="D17" s="9" t="str">
        <f aca="false">IF(C17="","",ROUND(MIN(C17,$D$9)*$D$7,0))</f>
        <v/>
      </c>
      <c r="E17" s="9" t="str">
        <f aca="false">IF(C17="","",ROUND(MIN(C17,$D$11)*$D$10,0))</f>
        <v/>
      </c>
      <c r="F17" s="9" t="str">
        <f aca="false">IF(C17="","",ROUND(MIN(C17,$D$11)*$D$12,0))</f>
        <v/>
      </c>
      <c r="G17" s="11" t="str">
        <f aca="false">IF(C17="","",SUM(D17:F17))</f>
        <v/>
      </c>
      <c r="H17" s="9" t="str">
        <f aca="false">IF(C17="","",ROUND(MIN(C17,$D$9)*$D$8,0))</f>
        <v/>
      </c>
      <c r="I17" s="11" t="str">
        <f aca="false">IF(C17="","",C17+G17)</f>
        <v/>
      </c>
      <c r="J17" s="12" t="str">
        <f aca="false">IF(C17="","",IF(C17&lt;$D$13,"OUI",""))</f>
        <v/>
      </c>
    </row>
    <row r="18" customFormat="false" ht="15" hidden="false" customHeight="false" outlineLevel="0" collapsed="false">
      <c r="A18" s="10"/>
      <c r="B18" s="10"/>
      <c r="C18" s="8"/>
      <c r="D18" s="9" t="str">
        <f aca="false">IF(C18="","",ROUND(MIN(C18,$D$9)*$D$7,0))</f>
        <v/>
      </c>
      <c r="E18" s="9" t="str">
        <f aca="false">IF(C18="","",ROUND(MIN(C18,$D$11)*$D$10,0))</f>
        <v/>
      </c>
      <c r="F18" s="9" t="str">
        <f aca="false">IF(C18="","",ROUND(MIN(C18,$D$11)*$D$12,0))</f>
        <v/>
      </c>
      <c r="G18" s="11" t="str">
        <f aca="false">IF(C18="","",SUM(D18:F18))</f>
        <v/>
      </c>
      <c r="H18" s="9" t="str">
        <f aca="false">IF(C18="","",ROUND(MIN(C18,$D$9)*$D$8,0))</f>
        <v/>
      </c>
      <c r="I18" s="11" t="str">
        <f aca="false">IF(C18="","",C18+G18)</f>
        <v/>
      </c>
      <c r="J18" s="12" t="str">
        <f aca="false">IF(C18="","",IF(C18&lt;$D$13,"OUI",""))</f>
        <v/>
      </c>
    </row>
    <row r="19" customFormat="false" ht="15" hidden="false" customHeight="false" outlineLevel="0" collapsed="false">
      <c r="A19" s="10"/>
      <c r="B19" s="10"/>
      <c r="C19" s="8"/>
      <c r="D19" s="9" t="str">
        <f aca="false">IF(C19="","",ROUND(MIN(C19,$D$9)*$D$7,0))</f>
        <v/>
      </c>
      <c r="E19" s="9" t="str">
        <f aca="false">IF(C19="","",ROUND(MIN(C19,$D$11)*$D$10,0))</f>
        <v/>
      </c>
      <c r="F19" s="9" t="str">
        <f aca="false">IF(C19="","",ROUND(MIN(C19,$D$11)*$D$12,0))</f>
        <v/>
      </c>
      <c r="G19" s="11" t="str">
        <f aca="false">IF(C19="","",SUM(D19:F19))</f>
        <v/>
      </c>
      <c r="H19" s="9" t="str">
        <f aca="false">IF(C19="","",ROUND(MIN(C19,$D$9)*$D$8,0))</f>
        <v/>
      </c>
      <c r="I19" s="11" t="str">
        <f aca="false">IF(C19="","",C19+G19)</f>
        <v/>
      </c>
      <c r="J19" s="12" t="str">
        <f aca="false">IF(C19="","",IF(C19&lt;$D$13,"OUI",""))</f>
        <v/>
      </c>
    </row>
    <row r="20" customFormat="false" ht="15" hidden="false" customHeight="false" outlineLevel="0" collapsed="false">
      <c r="A20" s="10"/>
      <c r="B20" s="10"/>
      <c r="C20" s="8"/>
      <c r="D20" s="9" t="str">
        <f aca="false">IF(C20="","",ROUND(MIN(C20,$D$9)*$D$7,0))</f>
        <v/>
      </c>
      <c r="E20" s="9" t="str">
        <f aca="false">IF(C20="","",ROUND(MIN(C20,$D$11)*$D$10,0))</f>
        <v/>
      </c>
      <c r="F20" s="9" t="str">
        <f aca="false">IF(C20="","",ROUND(MIN(C20,$D$11)*$D$12,0))</f>
        <v/>
      </c>
      <c r="G20" s="11" t="str">
        <f aca="false">IF(C20="","",SUM(D20:F20))</f>
        <v/>
      </c>
      <c r="H20" s="9" t="str">
        <f aca="false">IF(C20="","",ROUND(MIN(C20,$D$9)*$D$8,0))</f>
        <v/>
      </c>
      <c r="I20" s="11" t="str">
        <f aca="false">IF(C20="","",C20+G20)</f>
        <v/>
      </c>
      <c r="J20" s="12" t="str">
        <f aca="false">IF(C20="","",IF(C20&lt;$D$13,"OUI",""))</f>
        <v/>
      </c>
    </row>
    <row r="21" customFormat="false" ht="15" hidden="false" customHeight="false" outlineLevel="0" collapsed="false">
      <c r="A21" s="10"/>
      <c r="B21" s="10"/>
      <c r="C21" s="8"/>
      <c r="D21" s="9" t="str">
        <f aca="false">IF(C21="","",ROUND(MIN(C21,$D$9)*$D$7,0))</f>
        <v/>
      </c>
      <c r="E21" s="9" t="str">
        <f aca="false">IF(C21="","",ROUND(MIN(C21,$D$11)*$D$10,0))</f>
        <v/>
      </c>
      <c r="F21" s="9" t="str">
        <f aca="false">IF(C21="","",ROUND(MIN(C21,$D$11)*$D$12,0))</f>
        <v/>
      </c>
      <c r="G21" s="11" t="str">
        <f aca="false">IF(C21="","",SUM(D21:F21))</f>
        <v/>
      </c>
      <c r="H21" s="9" t="str">
        <f aca="false">IF(C21="","",ROUND(MIN(C21,$D$9)*$D$8,0))</f>
        <v/>
      </c>
      <c r="I21" s="11" t="str">
        <f aca="false">IF(C21="","",C21+G21)</f>
        <v/>
      </c>
      <c r="J21" s="12" t="str">
        <f aca="false">IF(C21="","",IF(C21&lt;$D$13,"OUI",""))</f>
        <v/>
      </c>
    </row>
    <row r="22" customFormat="false" ht="15" hidden="false" customHeight="false" outlineLevel="0" collapsed="false">
      <c r="A22" s="10"/>
      <c r="B22" s="10"/>
      <c r="C22" s="8"/>
      <c r="D22" s="9" t="str">
        <f aca="false">IF(C22="","",ROUND(MIN(C22,$D$9)*$D$7,0))</f>
        <v/>
      </c>
      <c r="E22" s="9" t="str">
        <f aca="false">IF(C22="","",ROUND(MIN(C22,$D$11)*$D$10,0))</f>
        <v/>
      </c>
      <c r="F22" s="9" t="str">
        <f aca="false">IF(C22="","",ROUND(MIN(C22,$D$11)*$D$12,0))</f>
        <v/>
      </c>
      <c r="G22" s="11" t="str">
        <f aca="false">IF(C22="","",SUM(D22:F22))</f>
        <v/>
      </c>
      <c r="H22" s="9" t="str">
        <f aca="false">IF(C22="","",ROUND(MIN(C22,$D$9)*$D$8,0))</f>
        <v/>
      </c>
      <c r="I22" s="11" t="str">
        <f aca="false">IF(C22="","",C22+G22)</f>
        <v/>
      </c>
      <c r="J22" s="12" t="str">
        <f aca="false">IF(C22="","",IF(C22&lt;$D$13,"OUI",""))</f>
        <v/>
      </c>
    </row>
    <row r="23" customFormat="false" ht="15" hidden="false" customHeight="false" outlineLevel="0" collapsed="false">
      <c r="A23" s="10"/>
      <c r="B23" s="10"/>
      <c r="C23" s="8"/>
      <c r="D23" s="9" t="str">
        <f aca="false">IF(C23="","",ROUND(MIN(C23,$D$9)*$D$7,0))</f>
        <v/>
      </c>
      <c r="E23" s="9" t="str">
        <f aca="false">IF(C23="","",ROUND(MIN(C23,$D$11)*$D$10,0))</f>
        <v/>
      </c>
      <c r="F23" s="9" t="str">
        <f aca="false">IF(C23="","",ROUND(MIN(C23,$D$11)*$D$12,0))</f>
        <v/>
      </c>
      <c r="G23" s="11" t="str">
        <f aca="false">IF(C23="","",SUM(D23:F23))</f>
        <v/>
      </c>
      <c r="H23" s="9" t="str">
        <f aca="false">IF(C23="","",ROUND(MIN(C23,$D$9)*$D$8,0))</f>
        <v/>
      </c>
      <c r="I23" s="11" t="str">
        <f aca="false">IF(C23="","",C23+G23)</f>
        <v/>
      </c>
      <c r="J23" s="12" t="str">
        <f aca="false">IF(C23="","",IF(C23&lt;$D$13,"OUI",""))</f>
        <v/>
      </c>
    </row>
    <row r="24" customFormat="false" ht="15" hidden="false" customHeight="false" outlineLevel="0" collapsed="false">
      <c r="A24" s="10"/>
      <c r="B24" s="10"/>
      <c r="C24" s="8"/>
      <c r="D24" s="9" t="str">
        <f aca="false">IF(C24="","",ROUND(MIN(C24,$D$9)*$D$7,0))</f>
        <v/>
      </c>
      <c r="E24" s="9" t="str">
        <f aca="false">IF(C24="","",ROUND(MIN(C24,$D$11)*$D$10,0))</f>
        <v/>
      </c>
      <c r="F24" s="9" t="str">
        <f aca="false">IF(C24="","",ROUND(MIN(C24,$D$11)*$D$12,0))</f>
        <v/>
      </c>
      <c r="G24" s="11" t="str">
        <f aca="false">IF(C24="","",SUM(D24:F24))</f>
        <v/>
      </c>
      <c r="H24" s="9" t="str">
        <f aca="false">IF(C24="","",ROUND(MIN(C24,$D$9)*$D$8,0))</f>
        <v/>
      </c>
      <c r="I24" s="11" t="str">
        <f aca="false">IF(C24="","",C24+G24)</f>
        <v/>
      </c>
      <c r="J24" s="12" t="str">
        <f aca="false">IF(C24="","",IF(C24&lt;$D$13,"OUI",""))</f>
        <v/>
      </c>
    </row>
    <row r="25" customFormat="false" ht="15" hidden="false" customHeight="false" outlineLevel="0" collapsed="false">
      <c r="A25" s="10"/>
      <c r="B25" s="10"/>
      <c r="C25" s="8"/>
      <c r="D25" s="9" t="str">
        <f aca="false">IF(C25="","",ROUND(MIN(C25,$D$9)*$D$7,0))</f>
        <v/>
      </c>
      <c r="E25" s="9" t="str">
        <f aca="false">IF(C25="","",ROUND(MIN(C25,$D$11)*$D$10,0))</f>
        <v/>
      </c>
      <c r="F25" s="9" t="str">
        <f aca="false">IF(C25="","",ROUND(MIN(C25,$D$11)*$D$12,0))</f>
        <v/>
      </c>
      <c r="G25" s="11" t="str">
        <f aca="false">IF(C25="","",SUM(D25:F25))</f>
        <v/>
      </c>
      <c r="H25" s="9" t="str">
        <f aca="false">IF(C25="","",ROUND(MIN(C25,$D$9)*$D$8,0))</f>
        <v/>
      </c>
      <c r="I25" s="11" t="str">
        <f aca="false">IF(C25="","",C25+G25)</f>
        <v/>
      </c>
      <c r="J25" s="12" t="str">
        <f aca="false">IF(C25="","",IF(C25&lt;$D$13,"OUI",""))</f>
        <v/>
      </c>
    </row>
    <row r="26" customFormat="false" ht="15" hidden="false" customHeight="false" outlineLevel="0" collapsed="false">
      <c r="A26" s="13" t="s">
        <v>41</v>
      </c>
      <c r="B26" s="14"/>
      <c r="C26" s="15" t="n">
        <f aca="false">SUM(C16:C25)</f>
        <v>80000</v>
      </c>
      <c r="D26" s="15" t="n">
        <f aca="false">SUM(D16:D25)</f>
        <v>6720</v>
      </c>
      <c r="E26" s="15" t="n">
        <f aca="false">SUM(E16:E25)</f>
        <v>4410</v>
      </c>
      <c r="F26" s="15" t="n">
        <f aca="false">SUM(F16:F25)</f>
        <v>630</v>
      </c>
      <c r="G26" s="15" t="n">
        <f aca="false">SUM(G16:G25)</f>
        <v>11760</v>
      </c>
      <c r="H26" s="15" t="n">
        <f aca="false">SUM(H16:H25)</f>
        <v>4480</v>
      </c>
      <c r="I26" s="15" t="n">
        <f aca="false">SUM(I16:I25)</f>
        <v>91760</v>
      </c>
    </row>
    <row r="27" customFormat="false" ht="15" hidden="false" customHeight="false" outlineLevel="0" collapsed="false">
      <c r="A27" s="13" t="s">
        <v>42</v>
      </c>
      <c r="B27" s="14"/>
      <c r="C27" s="15" t="n">
        <f aca="false">C26*12</f>
        <v>960000</v>
      </c>
      <c r="D27" s="15" t="n">
        <f aca="false">D26*12</f>
        <v>80640</v>
      </c>
      <c r="E27" s="15" t="n">
        <f aca="false">E26*12</f>
        <v>52920</v>
      </c>
      <c r="F27" s="15" t="n">
        <f aca="false">F26*12</f>
        <v>7560</v>
      </c>
      <c r="G27" s="15" t="n">
        <f aca="false">G26*12</f>
        <v>141120</v>
      </c>
      <c r="H27" s="15" t="n">
        <f aca="false">H26*12</f>
        <v>53760</v>
      </c>
      <c r="I27" s="15" t="n">
        <f aca="false">I26*12</f>
        <v>1101120</v>
      </c>
    </row>
    <row r="28" customFormat="false" ht="15" hidden="false" customHeight="false" outlineLevel="0" collapsed="false">
      <c r="A28" s="4" t="s">
        <v>43</v>
      </c>
      <c r="B28" s="4"/>
      <c r="C28" s="16" t="n">
        <f aca="false">IF(C26=0,"",G26/C26)</f>
        <v>0.147</v>
      </c>
    </row>
    <row r="30" customFormat="false" ht="30" hidden="false" customHeight="true" outlineLevel="0" collapsed="false">
      <c r="A30" s="6" t="s">
        <v>44</v>
      </c>
      <c r="B30" s="6"/>
      <c r="C30" s="6"/>
      <c r="D30" s="6"/>
      <c r="E30" s="6"/>
      <c r="F30" s="6"/>
      <c r="G30" s="6"/>
      <c r="H30" s="6"/>
      <c r="I30" s="6"/>
      <c r="J30" s="6"/>
    </row>
  </sheetData>
  <mergeCells count="11">
    <mergeCell ref="A4:J4"/>
    <mergeCell ref="A6:C6"/>
    <mergeCell ref="A7:C7"/>
    <mergeCell ref="A8:C8"/>
    <mergeCell ref="A9:C9"/>
    <mergeCell ref="A10:C10"/>
    <mergeCell ref="A11:C11"/>
    <mergeCell ref="A12:C12"/>
    <mergeCell ref="A13:C13"/>
    <mergeCell ref="A28:B28"/>
    <mergeCell ref="A30:J30"/>
  </mergeCells>
  <conditionalFormatting sqref="J16:J25">
    <cfRule type="expression" priority="2" aboveAverage="0" equalAverage="0" bottom="0" percent="0" rank="0" text="" dxfId="0">
      <formula>J16="OUI"</formula>
    </cfRule>
  </conditionalFormatting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32"/>
    <col collapsed="false" customWidth="true" hidden="false" outlineLevel="0" max="5" min="4" style="0" width="14"/>
    <col collapsed="false" customWidth="true" hidden="false" outlineLevel="0" max="6" min="6" style="0" width="13"/>
  </cols>
  <sheetData>
    <row r="1" customFormat="false" ht="18.55" hidden="false" customHeight="false" outlineLevel="0" collapsed="false">
      <c r="A1" s="1" t="s">
        <v>45</v>
      </c>
    </row>
    <row r="2" customFormat="false" ht="15" hidden="false" customHeight="false" outlineLevel="0" collapsed="false">
      <c r="A2" s="2" t="s">
        <v>46</v>
      </c>
    </row>
    <row r="4" customFormat="false" ht="15" hidden="false" customHeight="true" outlineLevel="0" collapsed="false">
      <c r="A4" s="6" t="s">
        <v>19</v>
      </c>
      <c r="B4" s="6"/>
      <c r="C4" s="6"/>
      <c r="D4" s="6"/>
      <c r="E4" s="6"/>
      <c r="F4" s="6"/>
    </row>
    <row r="6" customFormat="false" ht="30" hidden="false" customHeight="true" outlineLevel="0" collapsed="false">
      <c r="A6" s="3" t="s">
        <v>47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</row>
    <row r="7" customFormat="false" ht="30" hidden="false" customHeight="true" outlineLevel="0" collapsed="false">
      <c r="A7" s="17" t="n">
        <v>1</v>
      </c>
      <c r="B7" s="5" t="s">
        <v>53</v>
      </c>
      <c r="C7" s="18" t="s">
        <v>54</v>
      </c>
      <c r="D7" s="19" t="n">
        <v>46335</v>
      </c>
      <c r="E7" s="19"/>
      <c r="F7" s="20" t="str">
        <f aca="true">IF(E7&lt;&gt;"","Fait",IF(D7="","",IF(D7&lt;TODAY(),"En retard","À venir")))</f>
        <v>À venir</v>
      </c>
    </row>
    <row r="8" customFormat="false" ht="30" hidden="false" customHeight="true" outlineLevel="0" collapsed="false">
      <c r="A8" s="17" t="n">
        <v>2</v>
      </c>
      <c r="B8" s="5" t="s">
        <v>55</v>
      </c>
      <c r="C8" s="18" t="s">
        <v>56</v>
      </c>
      <c r="D8" s="19"/>
      <c r="E8" s="19"/>
      <c r="F8" s="20" t="str">
        <f aca="true">IF(E8&lt;&gt;"","Fait",IF(D8="","",IF(D8&lt;TODAY(),"En retard","À venir")))</f>
        <v/>
      </c>
    </row>
    <row r="9" customFormat="false" ht="30" hidden="false" customHeight="true" outlineLevel="0" collapsed="false">
      <c r="A9" s="17" t="n">
        <v>3</v>
      </c>
      <c r="B9" s="5" t="s">
        <v>57</v>
      </c>
      <c r="C9" s="18" t="s">
        <v>56</v>
      </c>
      <c r="D9" s="19"/>
      <c r="E9" s="19"/>
      <c r="F9" s="20" t="str">
        <f aca="true">IF(E9&lt;&gt;"","Fait",IF(D9="","",IF(D9&lt;TODAY(),"En retard","À venir")))</f>
        <v/>
      </c>
    </row>
    <row r="10" customFormat="false" ht="30" hidden="false" customHeight="true" outlineLevel="0" collapsed="false">
      <c r="A10" s="17" t="n">
        <v>4</v>
      </c>
      <c r="B10" s="5" t="s">
        <v>58</v>
      </c>
      <c r="C10" s="18" t="s">
        <v>59</v>
      </c>
      <c r="D10" s="19"/>
      <c r="E10" s="19"/>
      <c r="F10" s="20" t="str">
        <f aca="true">IF(E10&lt;&gt;"","Fait",IF(D10="","",IF(D10&lt;TODAY(),"En retard","À venir")))</f>
        <v/>
      </c>
    </row>
    <row r="11" customFormat="false" ht="30" hidden="false" customHeight="true" outlineLevel="0" collapsed="false">
      <c r="A11" s="17" t="n">
        <v>5</v>
      </c>
      <c r="B11" s="5" t="s">
        <v>60</v>
      </c>
      <c r="C11" s="18" t="s">
        <v>61</v>
      </c>
      <c r="D11" s="19"/>
      <c r="E11" s="19"/>
      <c r="F11" s="20" t="str">
        <f aca="true">IF(E11&lt;&gt;"","Fait",IF(D11="","",IF(D11&lt;TODAY(),"En retard","À venir")))</f>
        <v/>
      </c>
    </row>
    <row r="12" customFormat="false" ht="30" hidden="false" customHeight="true" outlineLevel="0" collapsed="false">
      <c r="A12" s="17" t="n">
        <v>6</v>
      </c>
      <c r="B12" s="5" t="s">
        <v>62</v>
      </c>
      <c r="C12" s="18" t="s">
        <v>63</v>
      </c>
      <c r="D12" s="19"/>
      <c r="E12" s="19"/>
      <c r="F12" s="20" t="str">
        <f aca="true">IF(E12&lt;&gt;"","Fait",IF(D12="","",IF(D12&lt;TODAY(),"En retard","À venir")))</f>
        <v/>
      </c>
    </row>
    <row r="14" customFormat="false" ht="15" hidden="false" customHeight="false" outlineLevel="0" collapsed="false">
      <c r="B14" s="13" t="s">
        <v>64</v>
      </c>
      <c r="F14" s="21" t="str">
        <f aca="false">COUNTIF(F7:F12,"Fait")&amp;" / 6"</f>
        <v>0 / 6</v>
      </c>
    </row>
  </sheetData>
  <mergeCells count="1">
    <mergeCell ref="A4:F4"/>
  </mergeCells>
  <conditionalFormatting sqref="F7:F12">
    <cfRule type="expression" priority="2" aboveAverage="0" equalAverage="0" bottom="0" percent="0" rank="0" text="" dxfId="0">
      <formula>F7="En retard"</formula>
    </cfRule>
    <cfRule type="expression" priority="3" aboveAverage="0" equalAverage="0" bottom="0" percent="0" rank="0" text="" dxfId="1">
      <formula>F7="Fait"</formula>
    </cfRule>
  </conditionalFormatting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8" min="6" style="0" width="12"/>
    <col collapsed="false" customWidth="true" hidden="false" outlineLevel="0" max="11" min="9" style="0" width="14"/>
  </cols>
  <sheetData>
    <row r="1" customFormat="false" ht="18.5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15" hidden="false" customHeight="false" outlineLevel="0" collapsed="false">
      <c r="A4" s="22" t="s">
        <v>67</v>
      </c>
      <c r="B4" s="22"/>
      <c r="C4" s="22"/>
      <c r="D4" s="10"/>
      <c r="E4" s="10"/>
      <c r="F4" s="10"/>
      <c r="G4" s="10"/>
      <c r="H4" s="10"/>
      <c r="I4" s="10"/>
      <c r="J4" s="10"/>
      <c r="K4" s="10"/>
    </row>
    <row r="5" customFormat="false" ht="15" hidden="false" customHeight="true" outlineLevel="0" collapsed="false">
      <c r="A5" s="6" t="s">
        <v>19</v>
      </c>
      <c r="B5" s="6"/>
      <c r="C5" s="6"/>
      <c r="D5" s="6"/>
      <c r="E5" s="6"/>
      <c r="F5" s="6"/>
      <c r="G5" s="6"/>
      <c r="H5" s="6"/>
      <c r="I5" s="6"/>
      <c r="J5" s="6"/>
      <c r="K5" s="6"/>
    </row>
    <row r="7" customFormat="false" ht="30" hidden="false" customHeight="true" outlineLevel="0" collapsed="false">
      <c r="A7" s="3" t="s">
        <v>47</v>
      </c>
      <c r="B7" s="3" t="s">
        <v>68</v>
      </c>
      <c r="C7" s="3" t="s">
        <v>69</v>
      </c>
      <c r="D7" s="3" t="s">
        <v>70</v>
      </c>
      <c r="E7" s="3" t="s">
        <v>71</v>
      </c>
      <c r="F7" s="3" t="s">
        <v>72</v>
      </c>
      <c r="G7" s="3" t="s">
        <v>73</v>
      </c>
      <c r="H7" s="3" t="s">
        <v>74</v>
      </c>
      <c r="I7" s="3" t="s">
        <v>31</v>
      </c>
      <c r="J7" s="3" t="s">
        <v>75</v>
      </c>
      <c r="K7" s="3" t="s">
        <v>76</v>
      </c>
    </row>
    <row r="8" customFormat="false" ht="15" hidden="false" customHeight="false" outlineLevel="0" collapsed="false">
      <c r="A8" s="17" t="n">
        <v>1</v>
      </c>
      <c r="B8" s="10" t="s">
        <v>77</v>
      </c>
      <c r="C8" s="19" t="n">
        <v>35167</v>
      </c>
      <c r="D8" s="10" t="s">
        <v>78</v>
      </c>
      <c r="E8" s="10" t="s">
        <v>79</v>
      </c>
      <c r="F8" s="10" t="s">
        <v>80</v>
      </c>
      <c r="G8" s="19" t="n">
        <v>45352</v>
      </c>
      <c r="H8" s="19"/>
      <c r="I8" s="8" t="n">
        <v>80000</v>
      </c>
      <c r="J8" s="10" t="s">
        <v>78</v>
      </c>
      <c r="K8" s="10" t="s">
        <v>78</v>
      </c>
    </row>
    <row r="9" customFormat="false" ht="15" hidden="false" customHeight="false" outlineLevel="0" collapsed="false">
      <c r="A9" s="17" t="n">
        <v>2</v>
      </c>
      <c r="B9" s="10"/>
      <c r="C9" s="19"/>
      <c r="D9" s="10"/>
      <c r="E9" s="10"/>
      <c r="F9" s="10"/>
      <c r="G9" s="19"/>
      <c r="H9" s="19"/>
      <c r="I9" s="8"/>
      <c r="J9" s="10"/>
      <c r="K9" s="10"/>
    </row>
    <row r="10" customFormat="false" ht="15" hidden="false" customHeight="false" outlineLevel="0" collapsed="false">
      <c r="A10" s="17" t="n">
        <v>3</v>
      </c>
      <c r="B10" s="10"/>
      <c r="C10" s="19"/>
      <c r="D10" s="10"/>
      <c r="E10" s="10"/>
      <c r="F10" s="10"/>
      <c r="G10" s="19"/>
      <c r="H10" s="19"/>
      <c r="I10" s="8"/>
      <c r="J10" s="10"/>
      <c r="K10" s="10"/>
    </row>
    <row r="11" customFormat="false" ht="15" hidden="false" customHeight="false" outlineLevel="0" collapsed="false">
      <c r="A11" s="17" t="n">
        <v>4</v>
      </c>
      <c r="B11" s="10"/>
      <c r="C11" s="19"/>
      <c r="D11" s="10"/>
      <c r="E11" s="10"/>
      <c r="F11" s="10"/>
      <c r="G11" s="19"/>
      <c r="H11" s="19"/>
      <c r="I11" s="8"/>
      <c r="J11" s="10"/>
      <c r="K11" s="10"/>
    </row>
    <row r="12" customFormat="false" ht="15" hidden="false" customHeight="false" outlineLevel="0" collapsed="false">
      <c r="A12" s="17" t="n">
        <v>5</v>
      </c>
      <c r="B12" s="10"/>
      <c r="C12" s="19"/>
      <c r="D12" s="10"/>
      <c r="E12" s="10"/>
      <c r="F12" s="10"/>
      <c r="G12" s="19"/>
      <c r="H12" s="19"/>
      <c r="I12" s="8"/>
      <c r="J12" s="10"/>
      <c r="K12" s="10"/>
    </row>
    <row r="13" customFormat="false" ht="15" hidden="false" customHeight="false" outlineLevel="0" collapsed="false">
      <c r="A13" s="17" t="n">
        <v>6</v>
      </c>
      <c r="B13" s="10"/>
      <c r="C13" s="19"/>
      <c r="D13" s="10"/>
      <c r="E13" s="10"/>
      <c r="F13" s="10"/>
      <c r="G13" s="19"/>
      <c r="H13" s="19"/>
      <c r="I13" s="8"/>
      <c r="J13" s="10"/>
      <c r="K13" s="10"/>
    </row>
    <row r="14" customFormat="false" ht="15" hidden="false" customHeight="false" outlineLevel="0" collapsed="false">
      <c r="A14" s="17" t="n">
        <v>7</v>
      </c>
      <c r="B14" s="10"/>
      <c r="C14" s="19"/>
      <c r="D14" s="10"/>
      <c r="E14" s="10"/>
      <c r="F14" s="10"/>
      <c r="G14" s="19"/>
      <c r="H14" s="19"/>
      <c r="I14" s="8"/>
      <c r="J14" s="10"/>
      <c r="K14" s="10"/>
    </row>
    <row r="15" customFormat="false" ht="15" hidden="false" customHeight="false" outlineLevel="0" collapsed="false">
      <c r="A15" s="17" t="n">
        <v>8</v>
      </c>
      <c r="B15" s="10"/>
      <c r="C15" s="19"/>
      <c r="D15" s="10"/>
      <c r="E15" s="10"/>
      <c r="F15" s="10"/>
      <c r="G15" s="19"/>
      <c r="H15" s="19"/>
      <c r="I15" s="8"/>
      <c r="J15" s="10"/>
      <c r="K15" s="10"/>
    </row>
    <row r="16" customFormat="false" ht="15" hidden="false" customHeight="false" outlineLevel="0" collapsed="false">
      <c r="A16" s="17" t="n">
        <v>9</v>
      </c>
      <c r="B16" s="10"/>
      <c r="C16" s="19"/>
      <c r="D16" s="10"/>
      <c r="E16" s="10"/>
      <c r="F16" s="10"/>
      <c r="G16" s="19"/>
      <c r="H16" s="19"/>
      <c r="I16" s="8"/>
      <c r="J16" s="10"/>
      <c r="K16" s="10"/>
    </row>
    <row r="17" customFormat="false" ht="15" hidden="false" customHeight="false" outlineLevel="0" collapsed="false">
      <c r="A17" s="17" t="n">
        <v>10</v>
      </c>
      <c r="B17" s="10"/>
      <c r="C17" s="19"/>
      <c r="D17" s="10"/>
      <c r="E17" s="10"/>
      <c r="F17" s="10"/>
      <c r="G17" s="19"/>
      <c r="H17" s="19"/>
      <c r="I17" s="8"/>
      <c r="J17" s="10"/>
      <c r="K17" s="10"/>
    </row>
    <row r="18" customFormat="false" ht="15" hidden="false" customHeight="false" outlineLevel="0" collapsed="false">
      <c r="A18" s="17" t="n">
        <v>11</v>
      </c>
      <c r="B18" s="10"/>
      <c r="C18" s="19"/>
      <c r="D18" s="10"/>
      <c r="E18" s="10"/>
      <c r="F18" s="10"/>
      <c r="G18" s="19"/>
      <c r="H18" s="19"/>
      <c r="I18" s="8"/>
      <c r="J18" s="10"/>
      <c r="K18" s="10"/>
    </row>
    <row r="19" customFormat="false" ht="15" hidden="false" customHeight="false" outlineLevel="0" collapsed="false">
      <c r="A19" s="17" t="n">
        <v>12</v>
      </c>
      <c r="B19" s="10"/>
      <c r="C19" s="19"/>
      <c r="D19" s="10"/>
      <c r="E19" s="10"/>
      <c r="F19" s="10"/>
      <c r="G19" s="19"/>
      <c r="H19" s="19"/>
      <c r="I19" s="8"/>
      <c r="J19" s="10"/>
      <c r="K19" s="10"/>
    </row>
    <row r="20" customFormat="false" ht="15" hidden="false" customHeight="false" outlineLevel="0" collapsed="false">
      <c r="A20" s="17" t="n">
        <v>13</v>
      </c>
      <c r="B20" s="10"/>
      <c r="C20" s="19"/>
      <c r="D20" s="10"/>
      <c r="E20" s="10"/>
      <c r="F20" s="10"/>
      <c r="G20" s="19"/>
      <c r="H20" s="19"/>
      <c r="I20" s="8"/>
      <c r="J20" s="10"/>
      <c r="K20" s="10"/>
    </row>
    <row r="21" customFormat="false" ht="15" hidden="false" customHeight="false" outlineLevel="0" collapsed="false">
      <c r="A21" s="17" t="n">
        <v>14</v>
      </c>
      <c r="B21" s="10"/>
      <c r="C21" s="19"/>
      <c r="D21" s="10"/>
      <c r="E21" s="10"/>
      <c r="F21" s="10"/>
      <c r="G21" s="19"/>
      <c r="H21" s="19"/>
      <c r="I21" s="8"/>
      <c r="J21" s="10"/>
      <c r="K21" s="10"/>
    </row>
    <row r="22" customFormat="false" ht="15" hidden="false" customHeight="false" outlineLevel="0" collapsed="false">
      <c r="A22" s="17" t="n">
        <v>15</v>
      </c>
      <c r="B22" s="10"/>
      <c r="C22" s="19"/>
      <c r="D22" s="10"/>
      <c r="E22" s="10"/>
      <c r="F22" s="10"/>
      <c r="G22" s="19"/>
      <c r="H22" s="19"/>
      <c r="I22" s="8"/>
      <c r="J22" s="10"/>
      <c r="K22" s="10"/>
    </row>
    <row r="23" customFormat="false" ht="15" hidden="false" customHeight="false" outlineLevel="0" collapsed="false">
      <c r="A23" s="17" t="n">
        <v>16</v>
      </c>
      <c r="B23" s="10"/>
      <c r="C23" s="19"/>
      <c r="D23" s="10"/>
      <c r="E23" s="10"/>
      <c r="F23" s="10"/>
      <c r="G23" s="19"/>
      <c r="H23" s="19"/>
      <c r="I23" s="8"/>
      <c r="J23" s="10"/>
      <c r="K23" s="10"/>
    </row>
    <row r="24" customFormat="false" ht="15" hidden="false" customHeight="false" outlineLevel="0" collapsed="false">
      <c r="A24" s="17" t="n">
        <v>17</v>
      </c>
      <c r="B24" s="10"/>
      <c r="C24" s="19"/>
      <c r="D24" s="10"/>
      <c r="E24" s="10"/>
      <c r="F24" s="10"/>
      <c r="G24" s="19"/>
      <c r="H24" s="19"/>
      <c r="I24" s="8"/>
      <c r="J24" s="10"/>
      <c r="K24" s="10"/>
    </row>
    <row r="25" customFormat="false" ht="15" hidden="false" customHeight="false" outlineLevel="0" collapsed="false">
      <c r="A25" s="17" t="n">
        <v>18</v>
      </c>
      <c r="B25" s="10"/>
      <c r="C25" s="19"/>
      <c r="D25" s="10"/>
      <c r="E25" s="10"/>
      <c r="F25" s="10"/>
      <c r="G25" s="19"/>
      <c r="H25" s="19"/>
      <c r="I25" s="8"/>
      <c r="J25" s="10"/>
      <c r="K25" s="10"/>
    </row>
    <row r="26" customFormat="false" ht="15" hidden="false" customHeight="false" outlineLevel="0" collapsed="false">
      <c r="A26" s="17" t="n">
        <v>19</v>
      </c>
      <c r="B26" s="10"/>
      <c r="C26" s="19"/>
      <c r="D26" s="10"/>
      <c r="E26" s="10"/>
      <c r="F26" s="10"/>
      <c r="G26" s="19"/>
      <c r="H26" s="19"/>
      <c r="I26" s="8"/>
      <c r="J26" s="10"/>
      <c r="K26" s="10"/>
    </row>
    <row r="27" customFormat="false" ht="15" hidden="false" customHeight="false" outlineLevel="0" collapsed="false">
      <c r="A27" s="17" t="n">
        <v>20</v>
      </c>
      <c r="B27" s="10"/>
      <c r="C27" s="19"/>
      <c r="D27" s="10"/>
      <c r="E27" s="10"/>
      <c r="F27" s="10"/>
      <c r="G27" s="19"/>
      <c r="H27" s="19"/>
      <c r="I27" s="8"/>
      <c r="J27" s="10"/>
      <c r="K27" s="10"/>
    </row>
    <row r="29" customFormat="false" ht="15" hidden="false" customHeight="false" outlineLevel="0" collapsed="false">
      <c r="B29" s="13" t="s">
        <v>81</v>
      </c>
      <c r="C29" s="23" t="n">
        <f aca="false">COUNTIFS(B8:B27,"&lt;&gt;",H8:H27,"")</f>
        <v>1</v>
      </c>
      <c r="E29" s="13" t="s">
        <v>82</v>
      </c>
      <c r="F29" s="23" t="n">
        <f aca="false">COUNTIFS(B8:B27,"&lt;&gt;",J8:J27,"")</f>
        <v>0</v>
      </c>
    </row>
  </sheetData>
  <mergeCells count="3">
    <mergeCell ref="A4:C4"/>
    <mergeCell ref="D4:K4"/>
    <mergeCell ref="A5:K5"/>
  </mergeCells>
  <dataValidations count="1">
    <dataValidation allowBlank="true" errorStyle="stop" operator="between" showDropDown="false" showErrorMessage="false" showInputMessage="false" sqref="F8:F27" type="list">
      <formula1>"CDI,CDD,Apprentissage,Journalier"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6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28"/>
  </cols>
  <sheetData>
    <row r="1" customFormat="false" ht="18.55" hidden="false" customHeight="false" outlineLevel="0" collapsed="false">
      <c r="A1" s="1" t="s">
        <v>83</v>
      </c>
    </row>
    <row r="2" customFormat="false" ht="15" hidden="false" customHeight="false" outlineLevel="0" collapsed="false">
      <c r="A2" s="2" t="s">
        <v>84</v>
      </c>
    </row>
    <row r="4" customFormat="false" ht="15" hidden="false" customHeight="true" outlineLevel="0" collapsed="false">
      <c r="A4" s="6" t="s">
        <v>19</v>
      </c>
      <c r="B4" s="6"/>
      <c r="C4" s="6"/>
      <c r="D4" s="6"/>
      <c r="E4" s="6"/>
      <c r="F4" s="6"/>
    </row>
    <row r="6" customFormat="false" ht="30" hidden="false" customHeight="true" outlineLevel="0" collapsed="false">
      <c r="A6" s="3" t="s">
        <v>47</v>
      </c>
      <c r="B6" s="3" t="s">
        <v>85</v>
      </c>
      <c r="C6" s="3" t="s">
        <v>86</v>
      </c>
      <c r="D6" s="3" t="s">
        <v>51</v>
      </c>
      <c r="E6" s="3" t="s">
        <v>52</v>
      </c>
      <c r="F6" s="3" t="s">
        <v>87</v>
      </c>
    </row>
    <row r="7" customFormat="false" ht="27.75" hidden="false" customHeight="true" outlineLevel="0" collapsed="false">
      <c r="A7" s="17" t="n">
        <v>1</v>
      </c>
      <c r="B7" s="5" t="s">
        <v>88</v>
      </c>
      <c r="C7" s="19" t="n">
        <v>46402</v>
      </c>
      <c r="D7" s="19"/>
      <c r="E7" s="20" t="str">
        <f aca="true">IF(D7&lt;&gt;"","Fait",IF(C7="","",IF(C7&lt;TODAY(),"En retard","À venir")))</f>
        <v>À venir</v>
      </c>
      <c r="F7" s="10"/>
    </row>
    <row r="8" customFormat="false" ht="27.75" hidden="false" customHeight="true" outlineLevel="0" collapsed="false">
      <c r="A8" s="17" t="n">
        <v>2</v>
      </c>
      <c r="B8" s="5" t="s">
        <v>89</v>
      </c>
      <c r="C8" s="19" t="n">
        <v>46477</v>
      </c>
      <c r="D8" s="19"/>
      <c r="E8" s="20" t="str">
        <f aca="true">IF(D8&lt;&gt;"","Fait",IF(C8="","",IF(C8&lt;TODAY(),"En retard","À venir")))</f>
        <v>À venir</v>
      </c>
      <c r="F8" s="10"/>
    </row>
    <row r="9" customFormat="false" ht="27.75" hidden="false" customHeight="true" outlineLevel="0" collapsed="false">
      <c r="A9" s="17" t="n">
        <v>3</v>
      </c>
      <c r="B9" s="5" t="s">
        <v>90</v>
      </c>
      <c r="C9" s="19"/>
      <c r="D9" s="19"/>
      <c r="E9" s="20" t="str">
        <f aca="true">IF(D9&lt;&gt;"","Fait",IF(C9="","",IF(C9&lt;TODAY(),"En retard","À venir")))</f>
        <v/>
      </c>
      <c r="F9" s="10"/>
    </row>
    <row r="10" customFormat="false" ht="27.75" hidden="false" customHeight="true" outlineLevel="0" collapsed="false">
      <c r="A10" s="17" t="n">
        <v>4</v>
      </c>
      <c r="B10" s="5" t="s">
        <v>91</v>
      </c>
      <c r="C10" s="19" t="n">
        <v>46492</v>
      </c>
      <c r="D10" s="19"/>
      <c r="E10" s="20" t="str">
        <f aca="true">IF(D10&lt;&gt;"","Fait",IF(C10="","",IF(C10&lt;TODAY(),"En retard","À venir")))</f>
        <v>À venir</v>
      </c>
      <c r="F10" s="10"/>
    </row>
    <row r="11" customFormat="false" ht="27.75" hidden="false" customHeight="true" outlineLevel="0" collapsed="false">
      <c r="A11" s="17" t="n">
        <v>5</v>
      </c>
      <c r="B11" s="5" t="s">
        <v>92</v>
      </c>
      <c r="C11" s="19" t="n">
        <v>46583</v>
      </c>
      <c r="D11" s="19"/>
      <c r="E11" s="20" t="str">
        <f aca="true">IF(D11&lt;&gt;"","Fait",IF(C11="","",IF(C11&lt;TODAY(),"En retard","À venir")))</f>
        <v>À venir</v>
      </c>
      <c r="F11" s="10"/>
    </row>
    <row r="12" customFormat="false" ht="27.75" hidden="false" customHeight="true" outlineLevel="0" collapsed="false">
      <c r="A12" s="17" t="n">
        <v>6</v>
      </c>
      <c r="B12" s="5" t="s">
        <v>93</v>
      </c>
      <c r="C12" s="19" t="n">
        <v>46675</v>
      </c>
      <c r="D12" s="19"/>
      <c r="E12" s="20" t="str">
        <f aca="true">IF(D12&lt;&gt;"","Fait",IF(C12="","",IF(C12&lt;TODAY(),"En retard","À venir")))</f>
        <v>À venir</v>
      </c>
      <c r="F12" s="10"/>
    </row>
    <row r="13" customFormat="false" ht="27.75" hidden="false" customHeight="true" outlineLevel="0" collapsed="false">
      <c r="A13" s="17" t="n">
        <v>7</v>
      </c>
      <c r="B13" s="5" t="s">
        <v>94</v>
      </c>
      <c r="C13" s="19" t="n">
        <v>46767</v>
      </c>
      <c r="D13" s="19"/>
      <c r="E13" s="20" t="str">
        <f aca="true">IF(D13&lt;&gt;"","Fait",IF(C13="","",IF(C13&lt;TODAY(),"En retard","À venir")))</f>
        <v>À venir</v>
      </c>
      <c r="F13" s="10"/>
    </row>
    <row r="14" customFormat="false" ht="27.75" hidden="false" customHeight="true" outlineLevel="0" collapsed="false">
      <c r="A14" s="17" t="n">
        <v>8</v>
      </c>
      <c r="B14" s="5" t="s">
        <v>95</v>
      </c>
      <c r="C14" s="19"/>
      <c r="D14" s="19"/>
      <c r="E14" s="20" t="str">
        <f aca="true">IF(D14&lt;&gt;"","Fait",IF(C14="","",IF(C14&lt;TODAY(),"En retard","À venir")))</f>
        <v/>
      </c>
      <c r="F14" s="10"/>
    </row>
    <row r="16" customFormat="false" ht="30" hidden="false" customHeight="true" outlineLevel="0" collapsed="false">
      <c r="A16" s="6" t="s">
        <v>96</v>
      </c>
      <c r="B16" s="6"/>
      <c r="C16" s="6"/>
      <c r="D16" s="6"/>
      <c r="E16" s="6"/>
      <c r="F16" s="6"/>
    </row>
  </sheetData>
  <mergeCells count="2">
    <mergeCell ref="A4:F4"/>
    <mergeCell ref="A16:F16"/>
  </mergeCells>
  <conditionalFormatting sqref="E7:E14">
    <cfRule type="expression" priority="2" aboveAverage="0" equalAverage="0" bottom="0" percent="0" rank="0" text="" dxfId="0">
      <formula>E7="En retard"</formula>
    </cfRule>
    <cfRule type="expression" priority="3" aboveAverage="0" equalAverage="0" bottom="0" percent="0" rank="0" text="" dxfId="1">
      <formula>E7="Fait"</formula>
    </cfRule>
  </conditionalFormatting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6"/>
    <col collapsed="false" customWidth="true" hidden="false" outlineLevel="0" max="3" min="3" style="0" width="34"/>
  </cols>
  <sheetData>
    <row r="1" customFormat="false" ht="18.5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15" hidden="false" customHeight="true" outlineLevel="0" collapsed="false">
      <c r="A4" s="6" t="s">
        <v>19</v>
      </c>
      <c r="B4" s="6"/>
      <c r="C4" s="6"/>
    </row>
    <row r="6" customFormat="false" ht="30" hidden="false" customHeight="true" outlineLevel="0" collapsed="false">
      <c r="A6" s="3" t="s">
        <v>99</v>
      </c>
      <c r="B6" s="3" t="s">
        <v>100</v>
      </c>
      <c r="C6" s="3" t="s">
        <v>101</v>
      </c>
    </row>
    <row r="7" customFormat="false" ht="36" hidden="false" customHeight="true" outlineLevel="0" collapsed="false">
      <c r="A7" s="18" t="s">
        <v>102</v>
      </c>
      <c r="B7" s="18" t="s">
        <v>103</v>
      </c>
      <c r="C7" s="18" t="s">
        <v>104</v>
      </c>
    </row>
    <row r="8" customFormat="false" ht="36" hidden="false" customHeight="true" outlineLevel="0" collapsed="false">
      <c r="A8" s="18" t="s">
        <v>105</v>
      </c>
      <c r="B8" s="18" t="s">
        <v>106</v>
      </c>
      <c r="C8" s="18" t="s">
        <v>107</v>
      </c>
    </row>
    <row r="9" customFormat="false" ht="36" hidden="false" customHeight="true" outlineLevel="0" collapsed="false">
      <c r="A9" s="18" t="s">
        <v>108</v>
      </c>
      <c r="B9" s="18" t="s">
        <v>109</v>
      </c>
      <c r="C9" s="18" t="s">
        <v>110</v>
      </c>
    </row>
    <row r="11" customFormat="false" ht="15" hidden="false" customHeight="false" outlineLevel="0" collapsed="false">
      <c r="A11" s="22" t="s">
        <v>111</v>
      </c>
      <c r="B11" s="10"/>
      <c r="C11" s="10"/>
    </row>
    <row r="12" customFormat="false" ht="15" hidden="false" customHeight="false" outlineLevel="0" collapsed="false">
      <c r="A12" s="22" t="s">
        <v>112</v>
      </c>
      <c r="B12" s="10"/>
      <c r="C12" s="10"/>
    </row>
    <row r="13" customFormat="false" ht="15" hidden="false" customHeight="false" outlineLevel="0" collapsed="false">
      <c r="A13" s="22" t="s">
        <v>113</v>
      </c>
      <c r="B13" s="10"/>
      <c r="C13" s="10"/>
    </row>
    <row r="15" customFormat="false" ht="30" hidden="false" customHeight="true" outlineLevel="0" collapsed="false">
      <c r="A15" s="3" t="s">
        <v>114</v>
      </c>
      <c r="B15" s="3" t="s">
        <v>115</v>
      </c>
      <c r="C15" s="3" t="s">
        <v>87</v>
      </c>
    </row>
    <row r="16" customFormat="false" ht="25.5" hidden="false" customHeight="true" outlineLevel="0" collapsed="false">
      <c r="A16" s="5" t="s">
        <v>116</v>
      </c>
      <c r="B16" s="10"/>
      <c r="C16" s="10"/>
    </row>
    <row r="17" customFormat="false" ht="25.5" hidden="false" customHeight="true" outlineLevel="0" collapsed="false">
      <c r="A17" s="5" t="s">
        <v>117</v>
      </c>
      <c r="B17" s="10"/>
      <c r="C17" s="10"/>
    </row>
    <row r="18" customFormat="false" ht="25.5" hidden="false" customHeight="true" outlineLevel="0" collapsed="false">
      <c r="A18" s="5" t="s">
        <v>118</v>
      </c>
      <c r="B18" s="10"/>
      <c r="C18" s="10"/>
    </row>
    <row r="19" customFormat="false" ht="25.5" hidden="false" customHeight="true" outlineLevel="0" collapsed="false">
      <c r="A19" s="5" t="s">
        <v>119</v>
      </c>
      <c r="B19" s="10"/>
      <c r="C19" s="10"/>
    </row>
    <row r="20" customFormat="false" ht="25.5" hidden="false" customHeight="true" outlineLevel="0" collapsed="false">
      <c r="A20" s="5" t="s">
        <v>120</v>
      </c>
      <c r="B20" s="10"/>
      <c r="C20" s="10"/>
    </row>
    <row r="21" customFormat="false" ht="25.5" hidden="false" customHeight="true" outlineLevel="0" collapsed="false">
      <c r="A21" s="5" t="s">
        <v>121</v>
      </c>
      <c r="B21" s="10"/>
      <c r="C21" s="10"/>
    </row>
    <row r="22" customFormat="false" ht="25.5" hidden="false" customHeight="true" outlineLevel="0" collapsed="false">
      <c r="A22" s="5" t="s">
        <v>122</v>
      </c>
      <c r="B22" s="10"/>
      <c r="C22" s="10"/>
    </row>
    <row r="23" customFormat="false" ht="25.5" hidden="false" customHeight="true" outlineLevel="0" collapsed="false">
      <c r="A23" s="10"/>
      <c r="B23" s="10"/>
      <c r="C23" s="10"/>
    </row>
    <row r="24" customFormat="false" ht="25.5" hidden="false" customHeight="true" outlineLevel="0" collapsed="false">
      <c r="A24" s="10"/>
      <c r="B24" s="10"/>
      <c r="C24" s="10"/>
    </row>
    <row r="25" customFormat="false" ht="15" hidden="false" customHeight="false" outlineLevel="0" collapsed="false">
      <c r="A25" s="13" t="s">
        <v>123</v>
      </c>
      <c r="B25" s="21" t="str">
        <f aca="false">COUNTIF(B16:B24,"Oui")&amp;" / "&amp;COUNTA(A16:A24)</f>
        <v>0 / 7</v>
      </c>
    </row>
    <row r="26" customFormat="false" ht="15" hidden="false" customHeight="false" outlineLevel="0" collapsed="false">
      <c r="A26" s="22" t="s">
        <v>124</v>
      </c>
      <c r="B26" s="19"/>
    </row>
  </sheetData>
  <mergeCells count="4">
    <mergeCell ref="A4:C4"/>
    <mergeCell ref="B11:C11"/>
    <mergeCell ref="B12:C12"/>
    <mergeCell ref="B13:C13"/>
  </mergeCells>
  <dataValidations count="1">
    <dataValidation allowBlank="true" errorStyle="stop" operator="between" showDropDown="false" showErrorMessage="false" showInputMessage="false" sqref="B16:B24" type="list">
      <formula1>"Oui,Non"</formula1>
      <formula2>0</formula2>
    </dataValidation>
  </dataValidations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8" min="4" style="0" width="13"/>
    <col collapsed="false" customWidth="true" hidden="false" outlineLevel="0" max="9" min="9" style="0" width="14"/>
    <col collapsed="false" customWidth="true" hidden="false" outlineLevel="0" max="10" min="10" style="0" width="10"/>
  </cols>
  <sheetData>
    <row r="1" customFormat="false" ht="18.5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126</v>
      </c>
    </row>
    <row r="4" customFormat="false" ht="48" hidden="false" customHeight="true" outlineLevel="0" collapsed="false">
      <c r="A4" s="24" t="s">
        <v>127</v>
      </c>
      <c r="B4" s="24"/>
      <c r="C4" s="24"/>
      <c r="D4" s="24"/>
      <c r="E4" s="24"/>
      <c r="F4" s="24"/>
      <c r="G4" s="24"/>
      <c r="H4" s="24"/>
      <c r="I4" s="24"/>
      <c r="J4" s="24"/>
    </row>
    <row r="6" customFormat="false" ht="30" hidden="false" customHeight="true" outlineLevel="0" collapsed="false">
      <c r="A6" s="3" t="s">
        <v>20</v>
      </c>
      <c r="B6" s="3"/>
      <c r="C6" s="3"/>
      <c r="D6" s="3" t="s">
        <v>21</v>
      </c>
    </row>
    <row r="7" customFormat="false" ht="15" hidden="false" customHeight="true" outlineLevel="0" collapsed="false">
      <c r="A7" s="5" t="s">
        <v>22</v>
      </c>
      <c r="B7" s="5"/>
      <c r="C7" s="5"/>
      <c r="D7" s="7" t="n">
        <v>0.084</v>
      </c>
    </row>
    <row r="8" customFormat="false" ht="15" hidden="false" customHeight="true" outlineLevel="0" collapsed="false">
      <c r="A8" s="5" t="s">
        <v>23</v>
      </c>
      <c r="B8" s="5"/>
      <c r="C8" s="5"/>
      <c r="D8" s="7" t="n">
        <v>0.056</v>
      </c>
    </row>
    <row r="9" customFormat="false" ht="15" hidden="false" customHeight="true" outlineLevel="0" collapsed="false">
      <c r="A9" s="5" t="s">
        <v>24</v>
      </c>
      <c r="B9" s="5"/>
      <c r="C9" s="5"/>
      <c r="D9" s="8" t="n">
        <v>432000</v>
      </c>
    </row>
    <row r="10" customFormat="false" ht="15" hidden="false" customHeight="true" outlineLevel="0" collapsed="false">
      <c r="A10" s="5" t="s">
        <v>25</v>
      </c>
      <c r="B10" s="5"/>
      <c r="C10" s="5"/>
      <c r="D10" s="7" t="n">
        <v>0.07</v>
      </c>
    </row>
    <row r="11" customFormat="false" ht="15" hidden="false" customHeight="true" outlineLevel="0" collapsed="false">
      <c r="A11" s="5" t="s">
        <v>26</v>
      </c>
      <c r="B11" s="5"/>
      <c r="C11" s="5"/>
      <c r="D11" s="8" t="n">
        <v>63000</v>
      </c>
    </row>
    <row r="12" customFormat="false" ht="23.85" hidden="false" customHeight="true" outlineLevel="0" collapsed="false">
      <c r="A12" s="5" t="s">
        <v>27</v>
      </c>
      <c r="B12" s="5"/>
      <c r="C12" s="5"/>
      <c r="D12" s="7" t="n">
        <v>0.01</v>
      </c>
    </row>
    <row r="13" customFormat="false" ht="15" hidden="false" customHeight="true" outlineLevel="0" collapsed="false">
      <c r="A13" s="5" t="s">
        <v>28</v>
      </c>
      <c r="B13" s="5"/>
      <c r="C13" s="5"/>
      <c r="D13" s="9" t="n">
        <f aca="false">ROUND(173.33*370.526,0)</f>
        <v>64223</v>
      </c>
    </row>
    <row r="15" customFormat="false" ht="30" hidden="false" customHeight="true" outlineLevel="0" collapsed="false">
      <c r="A15" s="3" t="s">
        <v>29</v>
      </c>
      <c r="B15" s="3" t="s">
        <v>30</v>
      </c>
      <c r="C15" s="3" t="s">
        <v>31</v>
      </c>
      <c r="D15" s="3" t="s">
        <v>32</v>
      </c>
      <c r="E15" s="3" t="s">
        <v>33</v>
      </c>
      <c r="F15" s="3" t="s">
        <v>34</v>
      </c>
      <c r="G15" s="3" t="s">
        <v>35</v>
      </c>
      <c r="H15" s="3" t="s">
        <v>36</v>
      </c>
      <c r="I15" s="3" t="s">
        <v>37</v>
      </c>
      <c r="J15" s="3" t="s">
        <v>38</v>
      </c>
    </row>
    <row r="16" customFormat="false" ht="15" hidden="false" customHeight="false" outlineLevel="0" collapsed="false">
      <c r="A16" s="10" t="s">
        <v>128</v>
      </c>
      <c r="B16" s="10" t="s">
        <v>129</v>
      </c>
      <c r="C16" s="8" t="n">
        <v>120000</v>
      </c>
      <c r="D16" s="9" t="n">
        <f aca="false">IF(C16="","",ROUND(MIN(C16,$D$9)*$D$7,0))</f>
        <v>10080</v>
      </c>
      <c r="E16" s="9" t="n">
        <f aca="false">IF(C16="","",ROUND(MIN(C16,$D$11)*$D$10,0))</f>
        <v>4410</v>
      </c>
      <c r="F16" s="9" t="n">
        <f aca="false">IF(C16="","",ROUND(MIN(C16,$D$11)*$D$12,0))</f>
        <v>630</v>
      </c>
      <c r="G16" s="11" t="n">
        <f aca="false">IF(C16="","",SUM(D16:F16))</f>
        <v>15120</v>
      </c>
      <c r="H16" s="9" t="n">
        <f aca="false">IF(C16="","",ROUND(MIN(C16,$D$9)*$D$8,0))</f>
        <v>6720</v>
      </c>
      <c r="I16" s="11" t="n">
        <f aca="false">IF(C16="","",C16+G16)</f>
        <v>135120</v>
      </c>
      <c r="J16" s="12" t="str">
        <f aca="false">IF(C16="","",IF(C16&lt;$D$13,"OUI",""))</f>
        <v/>
      </c>
    </row>
    <row r="17" customFormat="false" ht="15" hidden="false" customHeight="false" outlineLevel="0" collapsed="false">
      <c r="A17" s="10" t="s">
        <v>130</v>
      </c>
      <c r="B17" s="10" t="s">
        <v>79</v>
      </c>
      <c r="C17" s="8" t="n">
        <v>80000</v>
      </c>
      <c r="D17" s="9" t="n">
        <f aca="false">IF(C17="","",ROUND(MIN(C17,$D$9)*$D$7,0))</f>
        <v>6720</v>
      </c>
      <c r="E17" s="9" t="n">
        <f aca="false">IF(C17="","",ROUND(MIN(C17,$D$11)*$D$10,0))</f>
        <v>4410</v>
      </c>
      <c r="F17" s="9" t="n">
        <f aca="false">IF(C17="","",ROUND(MIN(C17,$D$11)*$D$12,0))</f>
        <v>630</v>
      </c>
      <c r="G17" s="11" t="n">
        <f aca="false">IF(C17="","",SUM(D17:F17))</f>
        <v>11760</v>
      </c>
      <c r="H17" s="9" t="n">
        <f aca="false">IF(C17="","",ROUND(MIN(C17,$D$9)*$D$8,0))</f>
        <v>4480</v>
      </c>
      <c r="I17" s="11" t="n">
        <f aca="false">IF(C17="","",C17+G17)</f>
        <v>91760</v>
      </c>
      <c r="J17" s="12" t="str">
        <f aca="false">IF(C17="","",IF(C17&lt;$D$13,"OUI",""))</f>
        <v/>
      </c>
    </row>
    <row r="18" customFormat="false" ht="15" hidden="false" customHeight="false" outlineLevel="0" collapsed="false">
      <c r="A18" s="10" t="s">
        <v>131</v>
      </c>
      <c r="B18" s="10" t="s">
        <v>79</v>
      </c>
      <c r="C18" s="8" t="n">
        <v>80000</v>
      </c>
      <c r="D18" s="9" t="n">
        <f aca="false">IF(C18="","",ROUND(MIN(C18,$D$9)*$D$7,0))</f>
        <v>6720</v>
      </c>
      <c r="E18" s="9" t="n">
        <f aca="false">IF(C18="","",ROUND(MIN(C18,$D$11)*$D$10,0))</f>
        <v>4410</v>
      </c>
      <c r="F18" s="9" t="n">
        <f aca="false">IF(C18="","",ROUND(MIN(C18,$D$11)*$D$12,0))</f>
        <v>630</v>
      </c>
      <c r="G18" s="11" t="n">
        <f aca="false">IF(C18="","",SUM(D18:F18))</f>
        <v>11760</v>
      </c>
      <c r="H18" s="9" t="n">
        <f aca="false">IF(C18="","",ROUND(MIN(C18,$D$9)*$D$8,0))</f>
        <v>4480</v>
      </c>
      <c r="I18" s="11" t="n">
        <f aca="false">IF(C18="","",C18+G18)</f>
        <v>91760</v>
      </c>
      <c r="J18" s="12" t="str">
        <f aca="false">IF(C18="","",IF(C18&lt;$D$13,"OUI",""))</f>
        <v/>
      </c>
    </row>
    <row r="19" customFormat="false" ht="15" hidden="false" customHeight="false" outlineLevel="0" collapsed="false">
      <c r="A19" s="10"/>
      <c r="B19" s="10"/>
      <c r="C19" s="8"/>
      <c r="D19" s="9" t="str">
        <f aca="false">IF(C19="","",ROUND(MIN(C19,$D$9)*$D$7,0))</f>
        <v/>
      </c>
      <c r="E19" s="9" t="str">
        <f aca="false">IF(C19="","",ROUND(MIN(C19,$D$11)*$D$10,0))</f>
        <v/>
      </c>
      <c r="F19" s="9" t="str">
        <f aca="false">IF(C19="","",ROUND(MIN(C19,$D$11)*$D$12,0))</f>
        <v/>
      </c>
      <c r="G19" s="11" t="str">
        <f aca="false">IF(C19="","",SUM(D19:F19))</f>
        <v/>
      </c>
      <c r="H19" s="9" t="str">
        <f aca="false">IF(C19="","",ROUND(MIN(C19,$D$9)*$D$8,0))</f>
        <v/>
      </c>
      <c r="I19" s="11" t="str">
        <f aca="false">IF(C19="","",C19+G19)</f>
        <v/>
      </c>
      <c r="J19" s="12" t="str">
        <f aca="false">IF(C19="","",IF(C19&lt;$D$13,"OUI",""))</f>
        <v/>
      </c>
    </row>
    <row r="20" customFormat="false" ht="15" hidden="false" customHeight="false" outlineLevel="0" collapsed="false">
      <c r="A20" s="10"/>
      <c r="B20" s="10"/>
      <c r="C20" s="8"/>
      <c r="D20" s="9" t="str">
        <f aca="false">IF(C20="","",ROUND(MIN(C20,$D$9)*$D$7,0))</f>
        <v/>
      </c>
      <c r="E20" s="9" t="str">
        <f aca="false">IF(C20="","",ROUND(MIN(C20,$D$11)*$D$10,0))</f>
        <v/>
      </c>
      <c r="F20" s="9" t="str">
        <f aca="false">IF(C20="","",ROUND(MIN(C20,$D$11)*$D$12,0))</f>
        <v/>
      </c>
      <c r="G20" s="11" t="str">
        <f aca="false">IF(C20="","",SUM(D20:F20))</f>
        <v/>
      </c>
      <c r="H20" s="9" t="str">
        <f aca="false">IF(C20="","",ROUND(MIN(C20,$D$9)*$D$8,0))</f>
        <v/>
      </c>
      <c r="I20" s="11" t="str">
        <f aca="false">IF(C20="","",C20+G20)</f>
        <v/>
      </c>
      <c r="J20" s="12" t="str">
        <f aca="false">IF(C20="","",IF(C20&lt;$D$13,"OUI",""))</f>
        <v/>
      </c>
    </row>
    <row r="21" customFormat="false" ht="15" hidden="false" customHeight="false" outlineLevel="0" collapsed="false">
      <c r="A21" s="10"/>
      <c r="B21" s="10"/>
      <c r="C21" s="8"/>
      <c r="D21" s="9" t="str">
        <f aca="false">IF(C21="","",ROUND(MIN(C21,$D$9)*$D$7,0))</f>
        <v/>
      </c>
      <c r="E21" s="9" t="str">
        <f aca="false">IF(C21="","",ROUND(MIN(C21,$D$11)*$D$10,0))</f>
        <v/>
      </c>
      <c r="F21" s="9" t="str">
        <f aca="false">IF(C21="","",ROUND(MIN(C21,$D$11)*$D$12,0))</f>
        <v/>
      </c>
      <c r="G21" s="11" t="str">
        <f aca="false">IF(C21="","",SUM(D21:F21))</f>
        <v/>
      </c>
      <c r="H21" s="9" t="str">
        <f aca="false">IF(C21="","",ROUND(MIN(C21,$D$9)*$D$8,0))</f>
        <v/>
      </c>
      <c r="I21" s="11" t="str">
        <f aca="false">IF(C21="","",C21+G21)</f>
        <v/>
      </c>
      <c r="J21" s="12" t="str">
        <f aca="false">IF(C21="","",IF(C21&lt;$D$13,"OUI",""))</f>
        <v/>
      </c>
    </row>
    <row r="22" customFormat="false" ht="15" hidden="false" customHeight="false" outlineLevel="0" collapsed="false">
      <c r="A22" s="10"/>
      <c r="B22" s="10"/>
      <c r="C22" s="8"/>
      <c r="D22" s="9" t="str">
        <f aca="false">IF(C22="","",ROUND(MIN(C22,$D$9)*$D$7,0))</f>
        <v/>
      </c>
      <c r="E22" s="9" t="str">
        <f aca="false">IF(C22="","",ROUND(MIN(C22,$D$11)*$D$10,0))</f>
        <v/>
      </c>
      <c r="F22" s="9" t="str">
        <f aca="false">IF(C22="","",ROUND(MIN(C22,$D$11)*$D$12,0))</f>
        <v/>
      </c>
      <c r="G22" s="11" t="str">
        <f aca="false">IF(C22="","",SUM(D22:F22))</f>
        <v/>
      </c>
      <c r="H22" s="9" t="str">
        <f aca="false">IF(C22="","",ROUND(MIN(C22,$D$9)*$D$8,0))</f>
        <v/>
      </c>
      <c r="I22" s="11" t="str">
        <f aca="false">IF(C22="","",C22+G22)</f>
        <v/>
      </c>
      <c r="J22" s="12" t="str">
        <f aca="false">IF(C22="","",IF(C22&lt;$D$13,"OUI",""))</f>
        <v/>
      </c>
    </row>
    <row r="23" customFormat="false" ht="15" hidden="false" customHeight="false" outlineLevel="0" collapsed="false">
      <c r="A23" s="10"/>
      <c r="B23" s="10"/>
      <c r="C23" s="8"/>
      <c r="D23" s="9" t="str">
        <f aca="false">IF(C23="","",ROUND(MIN(C23,$D$9)*$D$7,0))</f>
        <v/>
      </c>
      <c r="E23" s="9" t="str">
        <f aca="false">IF(C23="","",ROUND(MIN(C23,$D$11)*$D$10,0))</f>
        <v/>
      </c>
      <c r="F23" s="9" t="str">
        <f aca="false">IF(C23="","",ROUND(MIN(C23,$D$11)*$D$12,0))</f>
        <v/>
      </c>
      <c r="G23" s="11" t="str">
        <f aca="false">IF(C23="","",SUM(D23:F23))</f>
        <v/>
      </c>
      <c r="H23" s="9" t="str">
        <f aca="false">IF(C23="","",ROUND(MIN(C23,$D$9)*$D$8,0))</f>
        <v/>
      </c>
      <c r="I23" s="11" t="str">
        <f aca="false">IF(C23="","",C23+G23)</f>
        <v/>
      </c>
      <c r="J23" s="12" t="str">
        <f aca="false">IF(C23="","",IF(C23&lt;$D$13,"OUI",""))</f>
        <v/>
      </c>
    </row>
    <row r="24" customFormat="false" ht="15" hidden="false" customHeight="false" outlineLevel="0" collapsed="false">
      <c r="A24" s="10"/>
      <c r="B24" s="10"/>
      <c r="C24" s="8"/>
      <c r="D24" s="9" t="str">
        <f aca="false">IF(C24="","",ROUND(MIN(C24,$D$9)*$D$7,0))</f>
        <v/>
      </c>
      <c r="E24" s="9" t="str">
        <f aca="false">IF(C24="","",ROUND(MIN(C24,$D$11)*$D$10,0))</f>
        <v/>
      </c>
      <c r="F24" s="9" t="str">
        <f aca="false">IF(C24="","",ROUND(MIN(C24,$D$11)*$D$12,0))</f>
        <v/>
      </c>
      <c r="G24" s="11" t="str">
        <f aca="false">IF(C24="","",SUM(D24:F24))</f>
        <v/>
      </c>
      <c r="H24" s="9" t="str">
        <f aca="false">IF(C24="","",ROUND(MIN(C24,$D$9)*$D$8,0))</f>
        <v/>
      </c>
      <c r="I24" s="11" t="str">
        <f aca="false">IF(C24="","",C24+G24)</f>
        <v/>
      </c>
      <c r="J24" s="12" t="str">
        <f aca="false">IF(C24="","",IF(C24&lt;$D$13,"OUI",""))</f>
        <v/>
      </c>
    </row>
    <row r="25" customFormat="false" ht="15" hidden="false" customHeight="false" outlineLevel="0" collapsed="false">
      <c r="A25" s="10"/>
      <c r="B25" s="10"/>
      <c r="C25" s="8"/>
      <c r="D25" s="9" t="str">
        <f aca="false">IF(C25="","",ROUND(MIN(C25,$D$9)*$D$7,0))</f>
        <v/>
      </c>
      <c r="E25" s="9" t="str">
        <f aca="false">IF(C25="","",ROUND(MIN(C25,$D$11)*$D$10,0))</f>
        <v/>
      </c>
      <c r="F25" s="9" t="str">
        <f aca="false">IF(C25="","",ROUND(MIN(C25,$D$11)*$D$12,0))</f>
        <v/>
      </c>
      <c r="G25" s="11" t="str">
        <f aca="false">IF(C25="","",SUM(D25:F25))</f>
        <v/>
      </c>
      <c r="H25" s="9" t="str">
        <f aca="false">IF(C25="","",ROUND(MIN(C25,$D$9)*$D$8,0))</f>
        <v/>
      </c>
      <c r="I25" s="11" t="str">
        <f aca="false">IF(C25="","",C25+G25)</f>
        <v/>
      </c>
      <c r="J25" s="12" t="str">
        <f aca="false">IF(C25="","",IF(C25&lt;$D$13,"OUI",""))</f>
        <v/>
      </c>
    </row>
    <row r="26" customFormat="false" ht="15" hidden="false" customHeight="false" outlineLevel="0" collapsed="false">
      <c r="A26" s="13" t="s">
        <v>41</v>
      </c>
      <c r="B26" s="14"/>
      <c r="C26" s="15" t="n">
        <f aca="false">SUM(C16:C25)</f>
        <v>280000</v>
      </c>
      <c r="D26" s="15" t="n">
        <f aca="false">SUM(D16:D25)</f>
        <v>23520</v>
      </c>
      <c r="E26" s="15" t="n">
        <f aca="false">SUM(E16:E25)</f>
        <v>13230</v>
      </c>
      <c r="F26" s="15" t="n">
        <f aca="false">SUM(F16:F25)</f>
        <v>1890</v>
      </c>
      <c r="G26" s="15" t="n">
        <f aca="false">SUM(G16:G25)</f>
        <v>38640</v>
      </c>
      <c r="H26" s="15" t="n">
        <f aca="false">SUM(H16:H25)</f>
        <v>15680</v>
      </c>
      <c r="I26" s="15" t="n">
        <f aca="false">SUM(I16:I25)</f>
        <v>318640</v>
      </c>
    </row>
    <row r="27" customFormat="false" ht="15" hidden="false" customHeight="false" outlineLevel="0" collapsed="false">
      <c r="A27" s="13" t="s">
        <v>42</v>
      </c>
      <c r="B27" s="14"/>
      <c r="C27" s="15" t="n">
        <f aca="false">C26*12</f>
        <v>3360000</v>
      </c>
      <c r="D27" s="15" t="n">
        <f aca="false">D26*12</f>
        <v>282240</v>
      </c>
      <c r="E27" s="15" t="n">
        <f aca="false">E26*12</f>
        <v>158760</v>
      </c>
      <c r="F27" s="15" t="n">
        <f aca="false">F26*12</f>
        <v>22680</v>
      </c>
      <c r="G27" s="15" t="n">
        <f aca="false">G26*12</f>
        <v>463680</v>
      </c>
      <c r="H27" s="15" t="n">
        <f aca="false">H26*12</f>
        <v>188160</v>
      </c>
      <c r="I27" s="15" t="n">
        <f aca="false">I26*12</f>
        <v>3823680</v>
      </c>
    </row>
    <row r="28" customFormat="false" ht="15" hidden="false" customHeight="false" outlineLevel="0" collapsed="false">
      <c r="A28" s="4" t="s">
        <v>43</v>
      </c>
      <c r="B28" s="4"/>
      <c r="C28" s="16" t="n">
        <f aca="false">IF(C26=0,"",G26/C26)</f>
        <v>0.138</v>
      </c>
    </row>
    <row r="30" customFormat="false" ht="15" hidden="false" customHeight="false" outlineLevel="0" collapsed="false">
      <c r="A30" s="4" t="s">
        <v>132</v>
      </c>
      <c r="B30" s="4"/>
      <c r="C30" s="8" t="n">
        <v>1900000</v>
      </c>
    </row>
    <row r="31" customFormat="false" ht="15" hidden="false" customHeight="false" outlineLevel="0" collapsed="false">
      <c r="A31" s="4" t="s">
        <v>133</v>
      </c>
      <c r="B31" s="4"/>
      <c r="C31" s="25" t="n">
        <v>0.4</v>
      </c>
    </row>
    <row r="32" customFormat="false" ht="15" hidden="false" customHeight="false" outlineLevel="0" collapsed="false">
      <c r="A32" s="13" t="s">
        <v>134</v>
      </c>
      <c r="B32" s="13"/>
      <c r="C32" s="15" t="n">
        <f aca="false">C30*C31</f>
        <v>760000</v>
      </c>
    </row>
    <row r="33" customFormat="false" ht="15" hidden="false" customHeight="false" outlineLevel="0" collapsed="false">
      <c r="A33" s="13" t="s">
        <v>135</v>
      </c>
      <c r="B33" s="13"/>
      <c r="C33" s="26" t="n">
        <f aca="false">G26/C30</f>
        <v>0.0203368421052632</v>
      </c>
    </row>
    <row r="34" customFormat="false" ht="15" hidden="false" customHeight="false" outlineLevel="0" collapsed="false">
      <c r="A34" s="13" t="s">
        <v>136</v>
      </c>
      <c r="B34" s="13"/>
      <c r="C34" s="26" t="n">
        <f aca="false">G26/C32</f>
        <v>0.0508421052631579</v>
      </c>
    </row>
    <row r="35" customFormat="false" ht="15" hidden="false" customHeight="false" outlineLevel="0" collapsed="false">
      <c r="A35" s="13" t="s">
        <v>137</v>
      </c>
      <c r="B35" s="13"/>
      <c r="C35" s="15" t="n">
        <f aca="false">(D26+H26)*3</f>
        <v>117600</v>
      </c>
    </row>
    <row r="36" customFormat="false" ht="15" hidden="false" customHeight="false" outlineLevel="0" collapsed="false">
      <c r="A36" s="13" t="s">
        <v>138</v>
      </c>
      <c r="B36" s="13"/>
      <c r="C36" s="15" t="n">
        <f aca="false">(E26+F26)*3</f>
        <v>45360</v>
      </c>
    </row>
    <row r="38" customFormat="false" ht="15" hidden="false" customHeight="true" outlineLevel="0" collapsed="false">
      <c r="A38" s="27" t="s">
        <v>139</v>
      </c>
      <c r="B38" s="27"/>
      <c r="C38" s="27"/>
      <c r="D38" s="27"/>
      <c r="E38" s="27"/>
      <c r="F38" s="27"/>
      <c r="G38" s="27"/>
      <c r="H38" s="27"/>
      <c r="I38" s="27"/>
      <c r="J38" s="27"/>
    </row>
    <row r="39" customFormat="false" ht="30" hidden="false" customHeight="true" outlineLevel="0" collapsed="false">
      <c r="A39" s="3" t="s">
        <v>140</v>
      </c>
      <c r="B39" s="3" t="s">
        <v>141</v>
      </c>
      <c r="C39" s="3"/>
      <c r="D39" s="3"/>
      <c r="E39" s="3"/>
      <c r="F39" s="3"/>
      <c r="G39" s="3"/>
      <c r="H39" s="3"/>
      <c r="I39" s="3"/>
      <c r="J39" s="3"/>
    </row>
    <row r="40" customFormat="false" ht="15" hidden="false" customHeight="true" outlineLevel="0" collapsed="false">
      <c r="A40" s="17" t="s">
        <v>142</v>
      </c>
      <c r="B40" s="5" t="s">
        <v>143</v>
      </c>
      <c r="C40" s="5"/>
      <c r="D40" s="5"/>
      <c r="E40" s="5"/>
      <c r="F40" s="5"/>
      <c r="G40" s="5"/>
      <c r="H40" s="5"/>
      <c r="I40" s="5"/>
      <c r="J40" s="5"/>
    </row>
    <row r="41" customFormat="false" ht="15" hidden="false" customHeight="true" outlineLevel="0" collapsed="false">
      <c r="A41" s="17" t="s">
        <v>144</v>
      </c>
      <c r="B41" s="5" t="s">
        <v>145</v>
      </c>
      <c r="C41" s="5"/>
      <c r="D41" s="5"/>
      <c r="E41" s="5"/>
      <c r="F41" s="5"/>
      <c r="G41" s="5"/>
      <c r="H41" s="5"/>
      <c r="I41" s="5"/>
      <c r="J41" s="5"/>
    </row>
    <row r="42" customFormat="false" ht="15" hidden="false" customHeight="true" outlineLevel="0" collapsed="false">
      <c r="A42" s="17" t="s">
        <v>146</v>
      </c>
      <c r="B42" s="5" t="s">
        <v>147</v>
      </c>
      <c r="C42" s="5"/>
      <c r="D42" s="5"/>
      <c r="E42" s="5"/>
      <c r="F42" s="5"/>
      <c r="G42" s="5"/>
      <c r="H42" s="5"/>
      <c r="I42" s="5"/>
      <c r="J42" s="5"/>
    </row>
    <row r="43" customFormat="false" ht="15" hidden="false" customHeight="true" outlineLevel="0" collapsed="false">
      <c r="A43" s="17" t="s">
        <v>148</v>
      </c>
      <c r="B43" s="5" t="s">
        <v>149</v>
      </c>
      <c r="C43" s="5"/>
      <c r="D43" s="5"/>
      <c r="E43" s="5"/>
      <c r="F43" s="5"/>
      <c r="G43" s="5"/>
      <c r="H43" s="5"/>
      <c r="I43" s="5"/>
      <c r="J43" s="5"/>
    </row>
    <row r="44" customFormat="false" ht="15" hidden="false" customHeight="true" outlineLevel="0" collapsed="false">
      <c r="A44" s="17" t="s">
        <v>150</v>
      </c>
      <c r="B44" s="5" t="s">
        <v>151</v>
      </c>
      <c r="C44" s="5"/>
      <c r="D44" s="5"/>
      <c r="E44" s="5"/>
      <c r="F44" s="5"/>
      <c r="G44" s="5"/>
      <c r="H44" s="5"/>
      <c r="I44" s="5"/>
      <c r="J44" s="5"/>
    </row>
    <row r="45" customFormat="false" ht="15" hidden="false" customHeight="true" outlineLevel="0" collapsed="false">
      <c r="A45" s="17" t="s">
        <v>152</v>
      </c>
      <c r="B45" s="5" t="s">
        <v>153</v>
      </c>
      <c r="C45" s="5"/>
      <c r="D45" s="5"/>
      <c r="E45" s="5"/>
      <c r="F45" s="5"/>
      <c r="G45" s="5"/>
      <c r="H45" s="5"/>
      <c r="I45" s="5"/>
      <c r="J45" s="5"/>
    </row>
  </sheetData>
  <mergeCells count="25">
    <mergeCell ref="A4:J4"/>
    <mergeCell ref="A6:C6"/>
    <mergeCell ref="A7:C7"/>
    <mergeCell ref="A8:C8"/>
    <mergeCell ref="A9:C9"/>
    <mergeCell ref="A10:C10"/>
    <mergeCell ref="A11:C11"/>
    <mergeCell ref="A12:C12"/>
    <mergeCell ref="A13:C13"/>
    <mergeCell ref="A28:B28"/>
    <mergeCell ref="A30:B30"/>
    <mergeCell ref="A31:B31"/>
    <mergeCell ref="A32:B32"/>
    <mergeCell ref="A33:B33"/>
    <mergeCell ref="A34:B34"/>
    <mergeCell ref="A35:B35"/>
    <mergeCell ref="A36:B36"/>
    <mergeCell ref="A38:J38"/>
    <mergeCell ref="B39:J39"/>
    <mergeCell ref="B40:J40"/>
    <mergeCell ref="B41:J41"/>
    <mergeCell ref="B42:J42"/>
    <mergeCell ref="B43:J43"/>
    <mergeCell ref="B44:J44"/>
    <mergeCell ref="B45:J45"/>
  </mergeCells>
  <conditionalFormatting sqref="J16:J25">
    <cfRule type="expression" priority="2" aboveAverage="0" equalAverage="0" bottom="0" percent="0" rank="0" text="" dxfId="0">
      <formula>J16="OUI"</formula>
    </cfRule>
  </conditionalFormatting>
  <printOptions headings="false" gridLines="false" gridLinesSet="true" horizontalCentered="true" verticalCentered="false"/>
  <pageMargins left="0.4" right="0.4" top="1" bottom="1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CADE / CCIAK · Yokkute PME · page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2026-10-30T13:02:57Z</dcterms:created>
  <dc:creator>openpyxl</dc:creator>
  <dc:description/>
  <dc:language>en-US</dc:language>
  <cp:lastModifiedBy/>
  <dcterms:modified xsi:type="dcterms:W3CDTF">2026-10-30T13:02:58Z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