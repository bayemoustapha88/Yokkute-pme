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_d_emploi" sheetId="1" state="visible" r:id="rId3"/>
    <sheet name="Diagnostic_numerique" sheetId="2" state="visible" r:id="rId4"/>
    <sheet name="Plan_numerique" sheetId="3" state="visible" r:id="rId5"/>
    <sheet name="Suivi_mobile_money" sheetId="4" state="visible" r:id="rId6"/>
    <sheet name="Catalogue_produits" sheetId="5" state="visible" r:id="rId7"/>
    <sheet name="Securite" sheetId="6" state="visible" r:id="rId8"/>
    <sheet name="Cas_Astou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<sst xmlns="http://schemas.openxmlformats.org/spreadsheetml/2006/main" count="185" uniqueCount="153">
  <si>
    <t xml:space="preserve">MC9 · Le numérique au service de mon entreprise</t>
  </si>
  <si>
    <t xml:space="preserve">Outils participants · Dimension « Outils numériques » · CADE / CCIAK</t>
  </si>
  <si>
    <t xml:space="preserve">Onglet</t>
  </si>
  <si>
    <t xml:space="preserve">Usage</t>
  </si>
  <si>
    <t xml:space="preserve">Diagnostic_numerique</t>
  </si>
  <si>
    <t xml:space="preserve">Dix questions ; mon niveau de 1 à 5 selon la grille du diagnostic Yokkute PME.</t>
  </si>
  <si>
    <t xml:space="preserve">Plan_numerique</t>
  </si>
  <si>
    <t xml:space="preserve">Mes actions numériques datées, l'outil, le coût et le statut.</t>
  </si>
  <si>
    <t xml:space="preserve">Suivi_mobile_money</t>
  </si>
  <si>
    <t xml:space="preserve">Chaque mois, rapprocher le relevé du numéro de l'entreprise et le registre ; les écarts sont signalés.</t>
  </si>
  <si>
    <t xml:space="preserve">Catalogue_produits</t>
  </si>
  <si>
    <t xml:space="preserve">Préparer les fiches du catalogue WhatsApp Business : nom, prix, description, photo.</t>
  </si>
  <si>
    <t xml:space="preserve">Securite</t>
  </si>
  <si>
    <t xml:space="preserve">Les cinq règles et la liste de contrôle de sécurité du téléphone.</t>
  </si>
  <si>
    <t xml:space="preserve">Cas_Astou</t>
  </si>
  <si>
    <t xml:space="preserve">Le cas pratique de la séance, avec son corrigé chiffré.</t>
  </si>
  <si>
    <t xml:space="preserve">Cellules jaunes à texte bleu : à remplir. Ne notez jamais un code secret, un mot de passe ou un code reçu par SMS dans ce classeur.</t>
  </si>
  <si>
    <t xml:space="preserve">Mon autodiagnostic numérique</t>
  </si>
  <si>
    <t xml:space="preserve">Répondre Oui ou Non à chaque question</t>
  </si>
  <si>
    <t xml:space="preserve">Cellules jaunes à texte bleu : à remplir. Cellules blanches : calculées automatiquement, ne pas modifier.</t>
  </si>
  <si>
    <t xml:space="preserve">N°</t>
  </si>
  <si>
    <t xml:space="preserve">Question</t>
  </si>
  <si>
    <t xml:space="preserve">Réponse</t>
  </si>
  <si>
    <t xml:space="preserve">J'utilise un smartphone pour mon activité</t>
  </si>
  <si>
    <t xml:space="preserve">Mes clients peuvent me payer par mobile money</t>
  </si>
  <si>
    <t xml:space="preserve">Les paiements arrivent sur un numéro réservé à l'entreprise</t>
  </si>
  <si>
    <t xml:space="preserve">J'utilise WhatsApp Business (et non WhatsApp ordinaire)</t>
  </si>
  <si>
    <t xml:space="preserve">J'ai un catalogue en ligne avec photos et prix</t>
  </si>
  <si>
    <t xml:space="preserve">Je suis mes ventes sur un tableur ou une application</t>
  </si>
  <si>
    <t xml:space="preserve">Je publie au moins une fois par semaine (statut, page, réseau)</t>
  </si>
  <si>
    <t xml:space="preserve">Je sauvegarde mes fichiers chaque semaine</t>
  </si>
  <si>
    <t xml:space="preserve">Mon téléphone a un code de verrouillage et WhatsApp la vérification en deux étapes</t>
  </si>
  <si>
    <t xml:space="preserve">J'utilise un logiciel de gestion ou je vends en ligne</t>
  </si>
  <si>
    <t xml:space="preserve">Mon niveau (grille du diagnostic)</t>
  </si>
  <si>
    <t xml:space="preserve">Ce que ce niveau signifie</t>
  </si>
  <si>
    <t xml:space="preserve">Règles de sécurité appliquées (questions 8 et 9)</t>
  </si>
  <si>
    <t xml:space="preserve">Mon plan numérique</t>
  </si>
  <si>
    <t xml:space="preserve">Trois actions au moins, datées</t>
  </si>
  <si>
    <t xml:space="preserve">Action</t>
  </si>
  <si>
    <t xml:space="preserve">Outil</t>
  </si>
  <si>
    <t xml:space="preserve">Coût estimé (FCFA)</t>
  </si>
  <si>
    <t xml:space="preserve">Date prévue</t>
  </si>
  <si>
    <t xml:space="preserve">Date réalisée</t>
  </si>
  <si>
    <t xml:space="preserve">Statut</t>
  </si>
  <si>
    <t xml:space="preserve">Ouvrir un numéro de paiement réservé à l'entreprise et l'annoncer aux clients</t>
  </si>
  <si>
    <t xml:space="preserve">Puce et compte mobile money</t>
  </si>
  <si>
    <t xml:space="preserve">Me verser un salaire fixe vers mon numéro personnel</t>
  </si>
  <si>
    <t xml:space="preserve">Mobile money</t>
  </si>
  <si>
    <t xml:space="preserve">Installer WhatsApp Business et remplir le profil</t>
  </si>
  <si>
    <t xml:space="preserve">WhatsApp Business</t>
  </si>
  <si>
    <t xml:space="preserve">Publier un catalogue d'au moins dix produits avec photos et prix</t>
  </si>
  <si>
    <t xml:space="preserve">Créer trois réponses rapides et quatre étiquettes clients</t>
  </si>
  <si>
    <t xml:space="preserve">Créer ma fiche d'établissement Google</t>
  </si>
  <si>
    <t xml:space="preserve">Google</t>
  </si>
  <si>
    <t xml:space="preserve">Tenir mon registre mensuel sur tableur, sauvegardé chaque semaine</t>
  </si>
  <si>
    <t xml:space="preserve">Tableur</t>
  </si>
  <si>
    <t xml:space="preserve">Rapprocher chaque mois le relevé et le registre</t>
  </si>
  <si>
    <t xml:space="preserve">Onglet Suivi_mobile_money</t>
  </si>
  <si>
    <t xml:space="preserve">Actions datées</t>
  </si>
  <si>
    <t xml:space="preserve">Actions faites</t>
  </si>
  <si>
    <t xml:space="preserve">Coût total prévu</t>
  </si>
  <si>
    <t xml:space="preserve">La première ligne porte une date d'exemple : remplacez-la par la vôtre. Supprimez les actions qui ne vous concernent pas en laissant leur date vide.</t>
  </si>
  <si>
    <t xml:space="preserve">Rapprochement mensuel du mobile money</t>
  </si>
  <si>
    <t xml:space="preserve">Relevé du numéro de l'entreprise comparé au registre · année</t>
  </si>
  <si>
    <t xml:space="preserve">Mois</t>
  </si>
  <si>
    <t xml:space="preserve">Entrées selon relevé</t>
  </si>
  <si>
    <t xml:space="preserve">Ventes mobile money selon registre</t>
  </si>
  <si>
    <t xml:space="preserve">Apports identifiés</t>
  </si>
  <si>
    <t xml:space="preserve">Entrées non expliquées</t>
  </si>
  <si>
    <t xml:space="preserve">Sorties selon relevé</t>
  </si>
  <si>
    <t xml:space="preserve">Fournisseurs et dépenses pro</t>
  </si>
  <si>
    <t xml:space="preserve">Salaire du promoteur</t>
  </si>
  <si>
    <t xml:space="preserve">Frais opérateur</t>
  </si>
  <si>
    <t xml:space="preserve">Sorties non expliquées</t>
  </si>
  <si>
    <t xml:space="preserve">Dépenses du ménage</t>
  </si>
  <si>
    <t xml:space="preserve">Alerte</t>
  </si>
  <si>
    <t xml:space="preserve">Janvier</t>
  </si>
  <si>
    <t xml:space="preserve">Février</t>
  </si>
  <si>
    <t xml:space="preserve">Mars</t>
  </si>
  <si>
    <t xml:space="preserve">Avril</t>
  </si>
  <si>
    <t xml:space="preserve">Mai</t>
  </si>
  <si>
    <t xml:space="preserve">Juin</t>
  </si>
  <si>
    <t xml:space="preserve">Juillet</t>
  </si>
  <si>
    <t xml:space="preserve">Août</t>
  </si>
  <si>
    <t xml:space="preserve">Septembre</t>
  </si>
  <si>
    <t xml:space="preserve">Octobre</t>
  </si>
  <si>
    <t xml:space="preserve">Novembre</t>
  </si>
  <si>
    <t xml:space="preserve">Décembre</t>
  </si>
  <si>
    <t xml:space="preserve">Année</t>
  </si>
  <si>
    <t xml:space="preserve">Sur un numéro réservé à l'entreprise, la colonne « Dépenses du ménage » doit rester vide. Un écart non expliqué se recherche ligne par ligne dans le relevé, avant de signer le récapitulatif mensuel (MC7).</t>
  </si>
  <si>
    <t xml:space="preserve">Fiches du catalogue WhatsApp Business</t>
  </si>
  <si>
    <t xml:space="preserve">Une ligne par produit ou service · photo à la lumière du jour, fond uni, produit seul</t>
  </si>
  <si>
    <t xml:space="preserve">Produit ou service</t>
  </si>
  <si>
    <t xml:space="preserve">Catégorie</t>
  </si>
  <si>
    <t xml:space="preserve">Prix (FCFA)</t>
  </si>
  <si>
    <t xml:space="preserve">Description courte (pour qui, quoi, quantité)</t>
  </si>
  <si>
    <t xml:space="preserve">Photo faite</t>
  </si>
  <si>
    <t xml:space="preserve">Publié</t>
  </si>
  <si>
    <t xml:space="preserve">Exemple : beurre de karité 250 g</t>
  </si>
  <si>
    <t xml:space="preserve">Soins</t>
  </si>
  <si>
    <t xml:space="preserve">Pur, non parfumé, pour peau sèche ; pot de 250 g</t>
  </si>
  <si>
    <t xml:space="preserve">Oui</t>
  </si>
  <si>
    <t xml:space="preserve">Non</t>
  </si>
  <si>
    <t xml:space="preserve">Fiches préparées</t>
  </si>
  <si>
    <t xml:space="preserve">Fiches sans prix</t>
  </si>
  <si>
    <t xml:space="preserve">Produits publiés</t>
  </si>
  <si>
    <t xml:space="preserve">Sécurité du téléphone et du mobile money</t>
  </si>
  <si>
    <t xml:space="preserve">Les cinq règles, puis la liste de contrôle</t>
  </si>
  <si>
    <t xml:space="preserve">1. Mon code secret ne se donne à personne, même à un employé ou à un « agent ».</t>
  </si>
  <si>
    <t xml:space="preserve">2. Je livre seulement après avoir vu le paiement dans l'application, jamais sur un SMS ou une capture.</t>
  </si>
  <si>
    <t xml:space="preserve">3. Mon téléphone est verrouillé par un code.</t>
  </si>
  <si>
    <t xml:space="preserve">4. La vérification en deux étapes est activée sur WhatsApp ; je ne transmets jamais un code reçu par SMS.</t>
  </si>
  <si>
    <t xml:space="preserve">5. Je sauvegarde mes fichiers chaque semaine.</t>
  </si>
  <si>
    <t xml:space="preserve">Point de contrôle</t>
  </si>
  <si>
    <t xml:space="preserve">Fait ?</t>
  </si>
  <si>
    <t xml:space="preserve">Code de verrouillage du téléphone activé</t>
  </si>
  <si>
    <t xml:space="preserve">Code secret mobile money changé et connu de moi seul</t>
  </si>
  <si>
    <t xml:space="preserve">Vérification en deux étapes activée sur WhatsApp</t>
  </si>
  <si>
    <t xml:space="preserve">Numéro officiel du service client de mon opérateur enregistré</t>
  </si>
  <si>
    <t xml:space="preserve">Employés informés : on ne livre qu'après vérification dans l'application</t>
  </si>
  <si>
    <t xml:space="preserve">Sauvegarde automatique ou hebdomadaire en place</t>
  </si>
  <si>
    <t xml:space="preserve">Applications téléchargées uniquement depuis la boutique officielle</t>
  </si>
  <si>
    <t xml:space="preserve">Plafond de transaction ou alertes activés si l'opérateur le propose</t>
  </si>
  <si>
    <t xml:space="preserve">Points en ordre</t>
  </si>
  <si>
    <t xml:space="preserve">Cas pratique · Astou, cosmétiques et tissus</t>
  </si>
  <si>
    <t xml:space="preserve">Énoncé et corrigé chiffré</t>
  </si>
  <si>
    <t xml:space="preserve">Boutique près du marché central de Kaolack. Environ 900 000 FCFA de ventes par mois, marge brute de 30 %. Six ventes sur dix payées par mobile money, sur son numéro personnel. Deux heures par jour à répondre aux questions de prix sur WhatsApp. Une marchandise de 45 000 FCFA partie sur un faux SMS de paiement.</t>
  </si>
  <si>
    <t xml:space="preserve">Partie A · le diagnostic</t>
  </si>
  <si>
    <t xml:space="preserve">Partie A · le relevé d'octobre et l'arnaque</t>
  </si>
  <si>
    <t xml:space="preserve">Reçu des clientes</t>
  </si>
  <si>
    <t xml:space="preserve">Reçu de la famille et de la tontine</t>
  </si>
  <si>
    <t xml:space="preserve">Payé aux fournisseurs</t>
  </si>
  <si>
    <t xml:space="preserve">Payé pour le ménage</t>
  </si>
  <si>
    <t xml:space="preserve">Prix de vente de la marchandise volée</t>
  </si>
  <si>
    <t xml:space="preserve">Taux de marge brute</t>
  </si>
  <si>
    <t xml:space="preserve">Total reçu sur le numéro</t>
  </si>
  <si>
    <t xml:space="preserve">Part non liée à la boutique</t>
  </si>
  <si>
    <t xml:space="preserve">Coût d'achat de la marchandise volée</t>
  </si>
  <si>
    <t xml:space="preserve">Ventes à réaliser pour regagner cette perte</t>
  </si>
  <si>
    <t xml:space="preserve">Partie B · le temps gagné avec le catalogue et les réponses rapides</t>
  </si>
  <si>
    <t xml:space="preserve">Heures par jour à répondre aux questions de prix</t>
  </si>
  <si>
    <t xml:space="preserve">Jours d'ouverture par mois</t>
  </si>
  <si>
    <t xml:space="preserve">Part du temps économisée</t>
  </si>
  <si>
    <t xml:space="preserve">Heures gagnées par mois</t>
  </si>
  <si>
    <t xml:space="preserve">Partie C · vrai ou arnaque ?</t>
  </si>
  <si>
    <t xml:space="preserve">Message</t>
  </si>
  <si>
    <t xml:space="preserve">Verdict</t>
  </si>
  <si>
    <t xml:space="preserve">SMS « Vous avez reçu 45 000 F » montré par une cliente</t>
  </si>
  <si>
    <t xml:space="preserve">Suspect : vérifier dans l'application avant de remettre</t>
  </si>
  <si>
    <t xml:space="preserve">Appel du « service client » demandant le code reçu par SMS</t>
  </si>
  <si>
    <t xml:space="preserve">Arnaque : raccrocher, ne jamais donner de code</t>
  </si>
  <si>
    <t xml:space="preserve">Notification dans l'application : 12 500 F d'une cliente habituée</t>
  </si>
  <si>
    <t xml:space="preserve">Fiable : livrer, étiqueter « payé »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</si>
</sst>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@"/>
    <numFmt numFmtId="167" formatCode="#,##0;\-#,##0;\-"/>
    <numFmt numFmtId="168" formatCode="dd/mm/yyyy"/>
    <numFmt numFmtId="169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7342C"/>
      <name val="Arial"/>
      <family val="0"/>
      <charset val="1"/>
    </font>
    <font>
      <i val="true"/>
      <sz val="9"/>
      <color rgb="FF56655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17342C"/>
      <name val="Arial"/>
      <family val="0"/>
      <charset val="1"/>
    </font>
    <font>
      <sz val="10"/>
      <color rgb="FF18241F"/>
      <name val="Arial"/>
      <family val="0"/>
      <charset val="1"/>
    </font>
    <font>
      <b val="true"/>
      <sz val="11"/>
      <color rgb="FF17342C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7342C"/>
        <bgColor rgb="FF18241F"/>
      </patternFill>
    </fill>
    <fill>
      <patternFill patternType="solid">
        <fgColor rgb="FFFFF6DC"/>
        <bgColor rgb="FFFBEBEB"/>
      </patternFill>
    </fill>
    <fill>
      <patternFill patternType="solid">
        <fgColor rgb="FFF6E7D2"/>
        <bgColor rgb="FFFBEBE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2BC"/>
      </left>
      <right style="thin">
        <color rgb="FFB7C2BC"/>
      </right>
      <top style="thin">
        <color rgb="FFB7C2BC"/>
      </top>
      <bottom style="thin">
        <color rgb="FFB7C2B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9C0006"/>
      </font>
      <fill>
        <patternFill>
          <bgColor rgb="FFFBEBEB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E5F4E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7C2BC"/>
      <rgbColor rgb="FF808080"/>
      <rgbColor rgb="FF9999FF"/>
      <rgbColor rgb="FF993366"/>
      <rgbColor rgb="FFFFF6DC"/>
      <rgbColor rgb="FFFBEBE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5F4E4"/>
      <rgbColor rgb="FFF6E7D2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6655F"/>
      <rgbColor rgb="FF969696"/>
      <rgbColor rgb="FF003366"/>
      <rgbColor rgb="FF339966"/>
      <rgbColor rgb="FF18241F"/>
      <rgbColor rgb="FF333300"/>
      <rgbColor rgb="FF993300"/>
      <rgbColor rgb="FF993366"/>
      <rgbColor rgb="FF333399"/>
      <rgbColor rgb="FF1734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0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5" customFormat="false" ht="30" hidden="false" customHeight="true" outlineLevel="0" collapsed="false">
      <c r="A5" s="3" t="s">
        <v>2</v>
      </c>
      <c r="B5" s="3" t="s">
        <v>3</v>
      </c>
    </row>
    <row r="6" customFormat="false" ht="30" hidden="false" customHeight="true" outlineLevel="0" collapsed="false">
      <c r="A6" s="4" t="s">
        <v>4</v>
      </c>
      <c r="B6" s="5" t="s">
        <v>5</v>
      </c>
    </row>
    <row r="7" customFormat="false" ht="30" hidden="false" customHeight="true" outlineLevel="0" collapsed="false">
      <c r="A7" s="4" t="s">
        <v>6</v>
      </c>
      <c r="B7" s="5" t="s">
        <v>7</v>
      </c>
    </row>
    <row r="8" customFormat="false" ht="30" hidden="false" customHeight="true" outlineLevel="0" collapsed="false">
      <c r="A8" s="4" t="s">
        <v>8</v>
      </c>
      <c r="B8" s="5" t="s">
        <v>9</v>
      </c>
    </row>
    <row r="9" customFormat="false" ht="30" hidden="false" customHeight="true" outlineLevel="0" collapsed="false">
      <c r="A9" s="4" t="s">
        <v>10</v>
      </c>
      <c r="B9" s="5" t="s">
        <v>11</v>
      </c>
    </row>
    <row r="10" customFormat="false" ht="30" hidden="false" customHeight="true" outlineLevel="0" collapsed="false">
      <c r="A10" s="4" t="s">
        <v>12</v>
      </c>
      <c r="B10" s="5" t="s">
        <v>13</v>
      </c>
    </row>
    <row r="11" customFormat="false" ht="30" hidden="false" customHeight="true" outlineLevel="0" collapsed="false">
      <c r="A11" s="4" t="s">
        <v>14</v>
      </c>
      <c r="B11" s="5" t="s">
        <v>15</v>
      </c>
    </row>
    <row r="13" customFormat="false" ht="30" hidden="false" customHeight="true" outlineLevel="0" collapsed="false">
      <c r="A13" s="6" t="s">
        <v>16</v>
      </c>
      <c r="B13" s="6"/>
    </row>
  </sheetData>
  <mergeCells count="1">
    <mergeCell ref="A13:B13"/>
  </mergeCells>
  <printOptions headings="false" gridLines="false" gridLinesSet="true" horizontalCentered="true" verticalCentered="false"/>
  <pageMargins left="0.4" right="0.4" top="1" bottom="1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CADE / CCIAK · Yokkute PME · page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0"/>
    <col collapsed="false" customWidth="true" hidden="false" outlineLevel="0" max="3" min="3" style="0" width="30"/>
  </cols>
  <sheetData>
    <row r="1" customFormat="false" ht="18.55" hidden="false" customHeight="false" outlineLevel="0" collapsed="false">
      <c r="A1" s="1" t="s">
        <v>17</v>
      </c>
    </row>
    <row r="2" customFormat="false" ht="15" hidden="false" customHeight="false" outlineLevel="0" collapsed="false">
      <c r="A2" s="2" t="s">
        <v>18</v>
      </c>
    </row>
    <row r="4" customFormat="false" ht="15" hidden="false" customHeight="true" outlineLevel="0" collapsed="false">
      <c r="A4" s="6" t="s">
        <v>19</v>
      </c>
      <c r="B4" s="6"/>
      <c r="C4" s="6"/>
    </row>
    <row r="6" customFormat="false" ht="30" hidden="false" customHeight="true" outlineLevel="0" collapsed="false">
      <c r="A6" s="3" t="s">
        <v>20</v>
      </c>
      <c r="B6" s="3" t="s">
        <v>21</v>
      </c>
      <c r="C6" s="3" t="s">
        <v>22</v>
      </c>
    </row>
    <row r="7" customFormat="false" ht="25.5" hidden="false" customHeight="true" outlineLevel="0" collapsed="false">
      <c r="A7" s="7" t="n">
        <v>1</v>
      </c>
      <c r="B7" s="5" t="s">
        <v>23</v>
      </c>
      <c r="C7" s="8"/>
    </row>
    <row r="8" customFormat="false" ht="25.5" hidden="false" customHeight="true" outlineLevel="0" collapsed="false">
      <c r="A8" s="7" t="n">
        <v>2</v>
      </c>
      <c r="B8" s="5" t="s">
        <v>24</v>
      </c>
      <c r="C8" s="8"/>
    </row>
    <row r="9" customFormat="false" ht="25.5" hidden="false" customHeight="true" outlineLevel="0" collapsed="false">
      <c r="A9" s="7" t="n">
        <v>3</v>
      </c>
      <c r="B9" s="5" t="s">
        <v>25</v>
      </c>
      <c r="C9" s="8"/>
    </row>
    <row r="10" customFormat="false" ht="25.5" hidden="false" customHeight="true" outlineLevel="0" collapsed="false">
      <c r="A10" s="7" t="n">
        <v>4</v>
      </c>
      <c r="B10" s="5" t="s">
        <v>26</v>
      </c>
      <c r="C10" s="8"/>
    </row>
    <row r="11" customFormat="false" ht="25.5" hidden="false" customHeight="true" outlineLevel="0" collapsed="false">
      <c r="A11" s="7" t="n">
        <v>5</v>
      </c>
      <c r="B11" s="5" t="s">
        <v>27</v>
      </c>
      <c r="C11" s="8"/>
    </row>
    <row r="12" customFormat="false" ht="25.5" hidden="false" customHeight="true" outlineLevel="0" collapsed="false">
      <c r="A12" s="7" t="n">
        <v>6</v>
      </c>
      <c r="B12" s="5" t="s">
        <v>28</v>
      </c>
      <c r="C12" s="8"/>
    </row>
    <row r="13" customFormat="false" ht="25.5" hidden="false" customHeight="true" outlineLevel="0" collapsed="false">
      <c r="A13" s="7" t="n">
        <v>7</v>
      </c>
      <c r="B13" s="5" t="s">
        <v>29</v>
      </c>
      <c r="C13" s="8"/>
    </row>
    <row r="14" customFormat="false" ht="25.5" hidden="false" customHeight="true" outlineLevel="0" collapsed="false">
      <c r="A14" s="7" t="n">
        <v>8</v>
      </c>
      <c r="B14" s="5" t="s">
        <v>30</v>
      </c>
      <c r="C14" s="8"/>
    </row>
    <row r="15" customFormat="false" ht="25.5" hidden="false" customHeight="true" outlineLevel="0" collapsed="false">
      <c r="A15" s="7" t="n">
        <v>9</v>
      </c>
      <c r="B15" s="5" t="s">
        <v>31</v>
      </c>
      <c r="C15" s="8"/>
    </row>
    <row r="16" customFormat="false" ht="25.5" hidden="false" customHeight="true" outlineLevel="0" collapsed="false">
      <c r="A16" s="7" t="n">
        <v>10</v>
      </c>
      <c r="B16" s="5" t="s">
        <v>32</v>
      </c>
      <c r="C16" s="8"/>
    </row>
    <row r="18" customFormat="false" ht="15" hidden="false" customHeight="false" outlineLevel="0" collapsed="false">
      <c r="B18" s="9" t="s">
        <v>33</v>
      </c>
      <c r="C18" s="10" t="str">
        <f aca="false">IF(COUNTA(C7:C16)=0,"",IF(AND(C9="Oui",C11="Oui",C12="Oui",C13="Oui",C16="Oui"),5,IF(AND(C9="Oui",C11="Oui",C12="Oui",C13="Oui"),4,IF(AND(C9="Oui",C11="Oui"),3,IF(C8="Oui",2,1)))))</f>
        <v/>
      </c>
    </row>
    <row r="19" customFormat="false" ht="39.75" hidden="false" customHeight="true" outlineLevel="0" collapsed="false">
      <c r="B19" s="4" t="s">
        <v>34</v>
      </c>
      <c r="C19" s="11" t="str">
        <f aca="false">IF(C18="","",CHOOSE(C18,"Niveau 1 · appels seulement, paiements en espèces","Niveau 2 · paiement mobile sur numéro personnel","Niveau 3 · numéro dédié, catalogue en ligne","Niveau 4 · ventes suivies sur tableur, promotion régulière","Niveau 5 · logiciel de gestion, vente en ligne"))</f>
        <v/>
      </c>
    </row>
    <row r="20" customFormat="false" ht="15" hidden="false" customHeight="false" outlineLevel="0" collapsed="false">
      <c r="B20" s="4" t="s">
        <v>35</v>
      </c>
      <c r="C20" s="12" t="str">
        <f aca="false">COUNTIF(C14:C15,"Oui")&amp;" / 2"</f>
        <v>0 / 2</v>
      </c>
    </row>
  </sheetData>
  <mergeCells count="1">
    <mergeCell ref="A4:C4"/>
  </mergeCells>
  <dataValidations count="1">
    <dataValidation allowBlank="true" errorStyle="stop" operator="between" showDropDown="false" showErrorMessage="false" showInputMessage="false" sqref="C7:C16" type="list">
      <formula1>"Oui,Non"</formula1>
      <formula2>0</formula2>
    </dataValidation>
  </dataValidations>
  <printOptions headings="false" gridLines="false" gridLinesSet="true" horizontalCentered="true" verticalCentered="false"/>
  <pageMargins left="0.4" right="0.4" top="1" bottom="1" header="0.511811023622047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&amp;C&amp;8 CADE / CCIAK · Yokkute PME · page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5" min="3" style="0" width="14"/>
    <col collapsed="false" customWidth="true" hidden="false" outlineLevel="0" max="6" min="6" style="0" width="13"/>
  </cols>
  <sheetData>
    <row r="1" customFormat="false" ht="18.55" hidden="false" customHeight="false" outlineLevel="0" collapsed="false">
      <c r="A1" s="1" t="s">
        <v>36</v>
      </c>
    </row>
    <row r="2" customFormat="false" ht="15" hidden="false" customHeight="false" outlineLevel="0" collapsed="false">
      <c r="A2" s="2" t="s">
        <v>37</v>
      </c>
    </row>
    <row r="4" customFormat="false" ht="15" hidden="false" customHeight="true" outlineLevel="0" collapsed="false">
      <c r="A4" s="6" t="s">
        <v>19</v>
      </c>
      <c r="B4" s="6"/>
      <c r="C4" s="6"/>
      <c r="D4" s="6"/>
      <c r="E4" s="6"/>
      <c r="F4" s="6"/>
    </row>
    <row r="6" customFormat="false" ht="30" hidden="false" customHeight="true" outlineLevel="0" collapsed="false">
      <c r="A6" s="3" t="s">
        <v>38</v>
      </c>
      <c r="B6" s="3" t="s">
        <v>39</v>
      </c>
      <c r="C6" s="3" t="s">
        <v>40</v>
      </c>
      <c r="D6" s="3" t="s">
        <v>41</v>
      </c>
      <c r="E6" s="3" t="s">
        <v>42</v>
      </c>
      <c r="F6" s="3" t="s">
        <v>43</v>
      </c>
    </row>
    <row r="7" customFormat="false" ht="30" hidden="false" customHeight="true" outlineLevel="0" collapsed="false">
      <c r="A7" s="5" t="s">
        <v>44</v>
      </c>
      <c r="B7" s="13" t="s">
        <v>45</v>
      </c>
      <c r="C7" s="14"/>
      <c r="D7" s="15" t="n">
        <v>46332</v>
      </c>
      <c r="E7" s="15"/>
      <c r="F7" s="16" t="str">
        <f aca="true">IF(E7&lt;&gt;"","Fait",IF(D7="","",IF(D7&lt;TODAY(),"En retard","À venir")))</f>
        <v>À venir</v>
      </c>
    </row>
    <row r="8" customFormat="false" ht="30" hidden="false" customHeight="true" outlineLevel="0" collapsed="false">
      <c r="A8" s="5" t="s">
        <v>46</v>
      </c>
      <c r="B8" s="13" t="s">
        <v>47</v>
      </c>
      <c r="C8" s="14"/>
      <c r="D8" s="15"/>
      <c r="E8" s="15"/>
      <c r="F8" s="16" t="str">
        <f aca="true">IF(E8&lt;&gt;"","Fait",IF(D8="","",IF(D8&lt;TODAY(),"En retard","À venir")))</f>
        <v/>
      </c>
    </row>
    <row r="9" customFormat="false" ht="30" hidden="false" customHeight="true" outlineLevel="0" collapsed="false">
      <c r="A9" s="5" t="s">
        <v>48</v>
      </c>
      <c r="B9" s="13" t="s">
        <v>49</v>
      </c>
      <c r="C9" s="14"/>
      <c r="D9" s="15"/>
      <c r="E9" s="15"/>
      <c r="F9" s="16" t="str">
        <f aca="true">IF(E9&lt;&gt;"","Fait",IF(D9="","",IF(D9&lt;TODAY(),"En retard","À venir")))</f>
        <v/>
      </c>
    </row>
    <row r="10" customFormat="false" ht="30" hidden="false" customHeight="true" outlineLevel="0" collapsed="false">
      <c r="A10" s="5" t="s">
        <v>50</v>
      </c>
      <c r="B10" s="13" t="s">
        <v>49</v>
      </c>
      <c r="C10" s="14"/>
      <c r="D10" s="15"/>
      <c r="E10" s="15"/>
      <c r="F10" s="16" t="str">
        <f aca="true">IF(E10&lt;&gt;"","Fait",IF(D10="","",IF(D10&lt;TODAY(),"En retard","À venir")))</f>
        <v/>
      </c>
    </row>
    <row r="11" customFormat="false" ht="30" hidden="false" customHeight="true" outlineLevel="0" collapsed="false">
      <c r="A11" s="5" t="s">
        <v>51</v>
      </c>
      <c r="B11" s="13" t="s">
        <v>49</v>
      </c>
      <c r="C11" s="14"/>
      <c r="D11" s="15"/>
      <c r="E11" s="15"/>
      <c r="F11" s="16" t="str">
        <f aca="true">IF(E11&lt;&gt;"","Fait",IF(D11="","",IF(D11&lt;TODAY(),"En retard","À venir")))</f>
        <v/>
      </c>
    </row>
    <row r="12" customFormat="false" ht="30" hidden="false" customHeight="true" outlineLevel="0" collapsed="false">
      <c r="A12" s="5" t="s">
        <v>52</v>
      </c>
      <c r="B12" s="13" t="s">
        <v>53</v>
      </c>
      <c r="C12" s="14"/>
      <c r="D12" s="15"/>
      <c r="E12" s="15"/>
      <c r="F12" s="16" t="str">
        <f aca="true">IF(E12&lt;&gt;"","Fait",IF(D12="","",IF(D12&lt;TODAY(),"En retard","À venir")))</f>
        <v/>
      </c>
    </row>
    <row r="13" customFormat="false" ht="30" hidden="false" customHeight="true" outlineLevel="0" collapsed="false">
      <c r="A13" s="5" t="s">
        <v>54</v>
      </c>
      <c r="B13" s="13" t="s">
        <v>55</v>
      </c>
      <c r="C13" s="14"/>
      <c r="D13" s="15"/>
      <c r="E13" s="15"/>
      <c r="F13" s="16" t="str">
        <f aca="true">IF(E13&lt;&gt;"","Fait",IF(D13="","",IF(D13&lt;TODAY(),"En retard","À venir")))</f>
        <v/>
      </c>
    </row>
    <row r="14" customFormat="false" ht="30" hidden="false" customHeight="true" outlineLevel="0" collapsed="false">
      <c r="A14" s="5" t="s">
        <v>56</v>
      </c>
      <c r="B14" s="13" t="s">
        <v>57</v>
      </c>
      <c r="C14" s="14"/>
      <c r="D14" s="15"/>
      <c r="E14" s="15"/>
      <c r="F14" s="16" t="str">
        <f aca="true">IF(E14&lt;&gt;"","Fait",IF(D14="","",IF(D14&lt;TODAY(),"En retard","À venir")))</f>
        <v/>
      </c>
    </row>
    <row r="15" customFormat="false" ht="30" hidden="false" customHeight="true" outlineLevel="0" collapsed="false">
      <c r="A15" s="8"/>
      <c r="B15" s="8"/>
      <c r="C15" s="14"/>
      <c r="D15" s="15"/>
      <c r="E15" s="15"/>
      <c r="F15" s="16" t="str">
        <f aca="true">IF(E15&lt;&gt;"","Fait",IF(D15="","",IF(D15&lt;TODAY(),"En retard","À venir")))</f>
        <v/>
      </c>
    </row>
    <row r="16" customFormat="false" ht="30" hidden="false" customHeight="true" outlineLevel="0" collapsed="false">
      <c r="A16" s="8"/>
      <c r="B16" s="8"/>
      <c r="C16" s="14"/>
      <c r="D16" s="15"/>
      <c r="E16" s="15"/>
      <c r="F16" s="16" t="str">
        <f aca="true">IF(E16&lt;&gt;"","Fait",IF(D16="","",IF(D16&lt;TODAY(),"En retard","À venir")))</f>
        <v/>
      </c>
    </row>
    <row r="18" customFormat="false" ht="15" hidden="false" customHeight="false" outlineLevel="0" collapsed="false">
      <c r="A18" s="9" t="s">
        <v>58</v>
      </c>
      <c r="C18" s="10" t="n">
        <f aca="false">COUNT(D7:D16)</f>
        <v>1</v>
      </c>
    </row>
    <row r="19" customFormat="false" ht="15" hidden="false" customHeight="false" outlineLevel="0" collapsed="false">
      <c r="A19" s="9" t="s">
        <v>59</v>
      </c>
      <c r="C19" s="10" t="n">
        <f aca="false">COUNTIF(F7:F16,"Fait")</f>
        <v>0</v>
      </c>
    </row>
    <row r="20" customFormat="false" ht="15" hidden="false" customHeight="false" outlineLevel="0" collapsed="false">
      <c r="A20" s="9" t="s">
        <v>60</v>
      </c>
      <c r="C20" s="17" t="n">
        <f aca="false">SUM(C7:C16)</f>
        <v>0</v>
      </c>
    </row>
    <row r="22" customFormat="false" ht="25.5" hidden="false" customHeight="true" outlineLevel="0" collapsed="false">
      <c r="A22" s="6" t="s">
        <v>61</v>
      </c>
      <c r="B22" s="6"/>
      <c r="C22" s="6"/>
      <c r="D22" s="6"/>
      <c r="E22" s="6"/>
      <c r="F22" s="6"/>
    </row>
  </sheetData>
  <mergeCells count="2">
    <mergeCell ref="A4:F4"/>
    <mergeCell ref="A22:F22"/>
  </mergeCells>
  <conditionalFormatting sqref="F7:F16">
    <cfRule type="expression" priority="2" aboveAverage="0" equalAverage="0" bottom="0" percent="0" rank="0" text="" dxfId="0">
      <formula>F7="En retard"</formula>
    </cfRule>
    <cfRule type="expression" priority="3" aboveAverage="0" equalAverage="0" bottom="0" percent="0" rank="0" text="" dxfId="1">
      <formula>F7="Fait"</formula>
    </cfRule>
  </conditionalFormatting>
  <printOptions headings="false" gridLines="false" gridLinesSet="true" horizontalCentered="true" verticalCentered="false"/>
  <pageMargins left="0.4" right="0.4" top="1" bottom="1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&amp;C&amp;8 CADE / CCIAK · Yokkute PME · page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3"/>
    <col collapsed="false" customWidth="true" hidden="false" outlineLevel="0" max="5" min="4" style="0" width="12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2" min="10" style="0" width="12"/>
  </cols>
  <sheetData>
    <row r="1" customFormat="false" ht="18.55" hidden="false" customHeight="false" outlineLevel="0" collapsed="false">
      <c r="A1" s="1" t="s">
        <v>62</v>
      </c>
    </row>
    <row r="2" customFormat="false" ht="15" hidden="false" customHeight="false" outlineLevel="0" collapsed="false">
      <c r="A2" s="2" t="s">
        <v>63</v>
      </c>
    </row>
    <row r="4" customFormat="false" ht="15" hidden="false" customHeight="true" outlineLevel="0" collapsed="false">
      <c r="A4" s="6" t="s">
        <v>19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6" customFormat="false" ht="30" hidden="false" customHeight="true" outlineLevel="0" collapsed="false">
      <c r="A6" s="3" t="s">
        <v>64</v>
      </c>
      <c r="B6" s="3" t="s">
        <v>65</v>
      </c>
      <c r="C6" s="3" t="s">
        <v>66</v>
      </c>
      <c r="D6" s="3" t="s">
        <v>67</v>
      </c>
      <c r="E6" s="3" t="s">
        <v>68</v>
      </c>
      <c r="F6" s="3" t="s">
        <v>69</v>
      </c>
      <c r="G6" s="3" t="s">
        <v>70</v>
      </c>
      <c r="H6" s="3" t="s">
        <v>71</v>
      </c>
      <c r="I6" s="3" t="s">
        <v>72</v>
      </c>
      <c r="J6" s="3" t="s">
        <v>73</v>
      </c>
      <c r="K6" s="3" t="s">
        <v>74</v>
      </c>
      <c r="L6" s="3" t="s">
        <v>75</v>
      </c>
    </row>
    <row r="7" customFormat="false" ht="15" hidden="false" customHeight="false" outlineLevel="0" collapsed="false">
      <c r="A7" s="7" t="s">
        <v>76</v>
      </c>
      <c r="B7" s="14"/>
      <c r="C7" s="14"/>
      <c r="D7" s="14"/>
      <c r="E7" s="18" t="str">
        <f aca="false">IF(B7="","",B7-C7-D7)</f>
        <v/>
      </c>
      <c r="F7" s="14"/>
      <c r="G7" s="14"/>
      <c r="H7" s="14"/>
      <c r="I7" s="14"/>
      <c r="J7" s="18" t="str">
        <f aca="false">IF(F7="","",F7-G7-H7-I7-K7)</f>
        <v/>
      </c>
      <c r="K7" s="14"/>
      <c r="L7" s="16" t="str">
        <f aca="false">IF(B7="","",IF(N(K7)&gt;0,"Ménage payé",IF(OR(ABS(E7)&gt;0,ABS(N(J7))&gt;0),"Écart à expliquer","OK")))</f>
        <v/>
      </c>
    </row>
    <row r="8" customFormat="false" ht="15" hidden="false" customHeight="false" outlineLevel="0" collapsed="false">
      <c r="A8" s="7" t="s">
        <v>77</v>
      </c>
      <c r="B8" s="14"/>
      <c r="C8" s="14"/>
      <c r="D8" s="14"/>
      <c r="E8" s="18" t="str">
        <f aca="false">IF(B8="","",B8-C8-D8)</f>
        <v/>
      </c>
      <c r="F8" s="14"/>
      <c r="G8" s="14"/>
      <c r="H8" s="14"/>
      <c r="I8" s="14"/>
      <c r="J8" s="18" t="str">
        <f aca="false">IF(F8="","",F8-G8-H8-I8-K8)</f>
        <v/>
      </c>
      <c r="K8" s="14"/>
      <c r="L8" s="16" t="str">
        <f aca="false">IF(B8="","",IF(N(K8)&gt;0,"Ménage payé",IF(OR(ABS(E8)&gt;0,ABS(N(J8))&gt;0),"Écart à expliquer","OK")))</f>
        <v/>
      </c>
    </row>
    <row r="9" customFormat="false" ht="15" hidden="false" customHeight="false" outlineLevel="0" collapsed="false">
      <c r="A9" s="7" t="s">
        <v>78</v>
      </c>
      <c r="B9" s="14"/>
      <c r="C9" s="14"/>
      <c r="D9" s="14"/>
      <c r="E9" s="18" t="str">
        <f aca="false">IF(B9="","",B9-C9-D9)</f>
        <v/>
      </c>
      <c r="F9" s="14"/>
      <c r="G9" s="14"/>
      <c r="H9" s="14"/>
      <c r="I9" s="14"/>
      <c r="J9" s="18" t="str">
        <f aca="false">IF(F9="","",F9-G9-H9-I9-K9)</f>
        <v/>
      </c>
      <c r="K9" s="14"/>
      <c r="L9" s="16" t="str">
        <f aca="false">IF(B9="","",IF(N(K9)&gt;0,"Ménage payé",IF(OR(ABS(E9)&gt;0,ABS(N(J9))&gt;0),"Écart à expliquer","OK")))</f>
        <v/>
      </c>
    </row>
    <row r="10" customFormat="false" ht="15" hidden="false" customHeight="false" outlineLevel="0" collapsed="false">
      <c r="A10" s="7" t="s">
        <v>79</v>
      </c>
      <c r="B10" s="14"/>
      <c r="C10" s="14"/>
      <c r="D10" s="14"/>
      <c r="E10" s="18" t="str">
        <f aca="false">IF(B10="","",B10-C10-D10)</f>
        <v/>
      </c>
      <c r="F10" s="14"/>
      <c r="G10" s="14"/>
      <c r="H10" s="14"/>
      <c r="I10" s="14"/>
      <c r="J10" s="18" t="str">
        <f aca="false">IF(F10="","",F10-G10-H10-I10-K10)</f>
        <v/>
      </c>
      <c r="K10" s="14"/>
      <c r="L10" s="16" t="str">
        <f aca="false">IF(B10="","",IF(N(K10)&gt;0,"Ménage payé",IF(OR(ABS(E10)&gt;0,ABS(N(J10))&gt;0),"Écart à expliquer","OK")))</f>
        <v/>
      </c>
    </row>
    <row r="11" customFormat="false" ht="15" hidden="false" customHeight="false" outlineLevel="0" collapsed="false">
      <c r="A11" s="7" t="s">
        <v>80</v>
      </c>
      <c r="B11" s="14"/>
      <c r="C11" s="14"/>
      <c r="D11" s="14"/>
      <c r="E11" s="18" t="str">
        <f aca="false">IF(B11="","",B11-C11-D11)</f>
        <v/>
      </c>
      <c r="F11" s="14"/>
      <c r="G11" s="14"/>
      <c r="H11" s="14"/>
      <c r="I11" s="14"/>
      <c r="J11" s="18" t="str">
        <f aca="false">IF(F11="","",F11-G11-H11-I11-K11)</f>
        <v/>
      </c>
      <c r="K11" s="14"/>
      <c r="L11" s="16" t="str">
        <f aca="false">IF(B11="","",IF(N(K11)&gt;0,"Ménage payé",IF(OR(ABS(E11)&gt;0,ABS(N(J11))&gt;0),"Écart à expliquer","OK")))</f>
        <v/>
      </c>
    </row>
    <row r="12" customFormat="false" ht="15" hidden="false" customHeight="false" outlineLevel="0" collapsed="false">
      <c r="A12" s="7" t="s">
        <v>81</v>
      </c>
      <c r="B12" s="14"/>
      <c r="C12" s="14"/>
      <c r="D12" s="14"/>
      <c r="E12" s="18" t="str">
        <f aca="false">IF(B12="","",B12-C12-D12)</f>
        <v/>
      </c>
      <c r="F12" s="14"/>
      <c r="G12" s="14"/>
      <c r="H12" s="14"/>
      <c r="I12" s="14"/>
      <c r="J12" s="18" t="str">
        <f aca="false">IF(F12="","",F12-G12-H12-I12-K12)</f>
        <v/>
      </c>
      <c r="K12" s="14"/>
      <c r="L12" s="16" t="str">
        <f aca="false">IF(B12="","",IF(N(K12)&gt;0,"Ménage payé",IF(OR(ABS(E12)&gt;0,ABS(N(J12))&gt;0),"Écart à expliquer","OK")))</f>
        <v/>
      </c>
    </row>
    <row r="13" customFormat="false" ht="15" hidden="false" customHeight="false" outlineLevel="0" collapsed="false">
      <c r="A13" s="7" t="s">
        <v>82</v>
      </c>
      <c r="B13" s="14"/>
      <c r="C13" s="14"/>
      <c r="D13" s="14"/>
      <c r="E13" s="18" t="str">
        <f aca="false">IF(B13="","",B13-C13-D13)</f>
        <v/>
      </c>
      <c r="F13" s="14"/>
      <c r="G13" s="14"/>
      <c r="H13" s="14"/>
      <c r="I13" s="14"/>
      <c r="J13" s="18" t="str">
        <f aca="false">IF(F13="","",F13-G13-H13-I13-K13)</f>
        <v/>
      </c>
      <c r="K13" s="14"/>
      <c r="L13" s="16" t="str">
        <f aca="false">IF(B13="","",IF(N(K13)&gt;0,"Ménage payé",IF(OR(ABS(E13)&gt;0,ABS(N(J13))&gt;0),"Écart à expliquer","OK")))</f>
        <v/>
      </c>
    </row>
    <row r="14" customFormat="false" ht="15" hidden="false" customHeight="false" outlineLevel="0" collapsed="false">
      <c r="A14" s="7" t="s">
        <v>83</v>
      </c>
      <c r="B14" s="14"/>
      <c r="C14" s="14"/>
      <c r="D14" s="14"/>
      <c r="E14" s="18" t="str">
        <f aca="false">IF(B14="","",B14-C14-D14)</f>
        <v/>
      </c>
      <c r="F14" s="14"/>
      <c r="G14" s="14"/>
      <c r="H14" s="14"/>
      <c r="I14" s="14"/>
      <c r="J14" s="18" t="str">
        <f aca="false">IF(F14="","",F14-G14-H14-I14-K14)</f>
        <v/>
      </c>
      <c r="K14" s="14"/>
      <c r="L14" s="16" t="str">
        <f aca="false">IF(B14="","",IF(N(K14)&gt;0,"Ménage payé",IF(OR(ABS(E14)&gt;0,ABS(N(J14))&gt;0),"Écart à expliquer","OK")))</f>
        <v/>
      </c>
    </row>
    <row r="15" customFormat="false" ht="15" hidden="false" customHeight="false" outlineLevel="0" collapsed="false">
      <c r="A15" s="7" t="s">
        <v>84</v>
      </c>
      <c r="B15" s="14"/>
      <c r="C15" s="14"/>
      <c r="D15" s="14"/>
      <c r="E15" s="18" t="str">
        <f aca="false">IF(B15="","",B15-C15-D15)</f>
        <v/>
      </c>
      <c r="F15" s="14"/>
      <c r="G15" s="14"/>
      <c r="H15" s="14"/>
      <c r="I15" s="14"/>
      <c r="J15" s="18" t="str">
        <f aca="false">IF(F15="","",F15-G15-H15-I15-K15)</f>
        <v/>
      </c>
      <c r="K15" s="14"/>
      <c r="L15" s="16" t="str">
        <f aca="false">IF(B15="","",IF(N(K15)&gt;0,"Ménage payé",IF(OR(ABS(E15)&gt;0,ABS(N(J15))&gt;0),"Écart à expliquer","OK")))</f>
        <v/>
      </c>
    </row>
    <row r="16" customFormat="false" ht="15" hidden="false" customHeight="false" outlineLevel="0" collapsed="false">
      <c r="A16" s="7" t="s">
        <v>85</v>
      </c>
      <c r="B16" s="14"/>
      <c r="C16" s="14"/>
      <c r="D16" s="14"/>
      <c r="E16" s="18" t="str">
        <f aca="false">IF(B16="","",B16-C16-D16)</f>
        <v/>
      </c>
      <c r="F16" s="14"/>
      <c r="G16" s="14"/>
      <c r="H16" s="14"/>
      <c r="I16" s="14"/>
      <c r="J16" s="18" t="str">
        <f aca="false">IF(F16="","",F16-G16-H16-I16-K16)</f>
        <v/>
      </c>
      <c r="K16" s="14"/>
      <c r="L16" s="16" t="str">
        <f aca="false">IF(B16="","",IF(N(K16)&gt;0,"Ménage payé",IF(OR(ABS(E16)&gt;0,ABS(N(J16))&gt;0),"Écart à expliquer","OK")))</f>
        <v/>
      </c>
    </row>
    <row r="17" customFormat="false" ht="15" hidden="false" customHeight="false" outlineLevel="0" collapsed="false">
      <c r="A17" s="7" t="s">
        <v>86</v>
      </c>
      <c r="B17" s="14"/>
      <c r="C17" s="14"/>
      <c r="D17" s="14"/>
      <c r="E17" s="18" t="str">
        <f aca="false">IF(B17="","",B17-C17-D17)</f>
        <v/>
      </c>
      <c r="F17" s="14"/>
      <c r="G17" s="14"/>
      <c r="H17" s="14"/>
      <c r="I17" s="14"/>
      <c r="J17" s="18" t="str">
        <f aca="false">IF(F17="","",F17-G17-H17-I17-K17)</f>
        <v/>
      </c>
      <c r="K17" s="14"/>
      <c r="L17" s="16" t="str">
        <f aca="false">IF(B17="","",IF(N(K17)&gt;0,"Ménage payé",IF(OR(ABS(E17)&gt;0,ABS(N(J17))&gt;0),"Écart à expliquer","OK")))</f>
        <v/>
      </c>
    </row>
    <row r="18" customFormat="false" ht="15" hidden="false" customHeight="false" outlineLevel="0" collapsed="false">
      <c r="A18" s="7" t="s">
        <v>87</v>
      </c>
      <c r="B18" s="14"/>
      <c r="C18" s="14"/>
      <c r="D18" s="14"/>
      <c r="E18" s="18" t="str">
        <f aca="false">IF(B18="","",B18-C18-D18)</f>
        <v/>
      </c>
      <c r="F18" s="14"/>
      <c r="G18" s="14"/>
      <c r="H18" s="14"/>
      <c r="I18" s="14"/>
      <c r="J18" s="18" t="str">
        <f aca="false">IF(F18="","",F18-G18-H18-I18-K18)</f>
        <v/>
      </c>
      <c r="K18" s="14"/>
      <c r="L18" s="16" t="str">
        <f aca="false">IF(B18="","",IF(N(K18)&gt;0,"Ménage payé",IF(OR(ABS(E18)&gt;0,ABS(N(J18))&gt;0),"Écart à expliquer","OK")))</f>
        <v/>
      </c>
    </row>
    <row r="19" customFormat="false" ht="15" hidden="false" customHeight="false" outlineLevel="0" collapsed="false">
      <c r="A19" s="9" t="s">
        <v>88</v>
      </c>
      <c r="B19" s="17" t="n">
        <f aca="false">SUM(B7:B18)</f>
        <v>0</v>
      </c>
      <c r="C19" s="17" t="n">
        <f aca="false">SUM(C7:C18)</f>
        <v>0</v>
      </c>
      <c r="D19" s="17" t="n">
        <f aca="false">SUM(D7:D18)</f>
        <v>0</v>
      </c>
      <c r="E19" s="17" t="n">
        <f aca="false">SUM(E7:E18)</f>
        <v>0</v>
      </c>
      <c r="F19" s="17" t="n">
        <f aca="false">SUM(F7:F18)</f>
        <v>0</v>
      </c>
      <c r="G19" s="17" t="n">
        <f aca="false">SUM(G7:G18)</f>
        <v>0</v>
      </c>
      <c r="H19" s="17" t="n">
        <f aca="false">SUM(H7:H18)</f>
        <v>0</v>
      </c>
      <c r="I19" s="17" t="n">
        <f aca="false">SUM(I7:I18)</f>
        <v>0</v>
      </c>
      <c r="J19" s="17" t="n">
        <f aca="false">SUM(J7:J18)</f>
        <v>0</v>
      </c>
      <c r="K19" s="17" t="n">
        <f aca="false">SUM(K7:K18)</f>
        <v>0</v>
      </c>
    </row>
    <row r="21" customFormat="false" ht="30" hidden="false" customHeight="true" outlineLevel="0" collapsed="false">
      <c r="A21" s="6" t="s">
        <v>89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</row>
  </sheetData>
  <mergeCells count="2">
    <mergeCell ref="A4:L4"/>
    <mergeCell ref="A21:L21"/>
  </mergeCells>
  <conditionalFormatting sqref="L7:L18">
    <cfRule type="expression" priority="2" aboveAverage="0" equalAverage="0" bottom="0" percent="0" rank="0" text="" dxfId="0">
      <formula>AND(L7&lt;&gt;"",L7&lt;&gt;"OK")</formula>
    </cfRule>
    <cfRule type="expression" priority="3" aboveAverage="0" equalAverage="0" bottom="0" percent="0" rank="0" text="" dxfId="1">
      <formula>L7="OK"</formula>
    </cfRule>
  </conditionalFormatting>
  <printOptions headings="false" gridLines="false" gridLinesSet="true" horizontalCentered="true" verticalCentered="false"/>
  <pageMargins left="0.4" right="0.4" top="1" bottom="1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&amp;C&amp;8 CADE / CCIAK · Yokkute PME · page 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48"/>
    <col collapsed="false" customWidth="true" hidden="false" outlineLevel="0" max="6" min="5" style="0" width="10"/>
  </cols>
  <sheetData>
    <row r="1" customFormat="false" ht="18.55" hidden="false" customHeight="false" outlineLevel="0" collapsed="false">
      <c r="A1" s="1" t="s">
        <v>90</v>
      </c>
    </row>
    <row r="2" customFormat="false" ht="15" hidden="false" customHeight="false" outlineLevel="0" collapsed="false">
      <c r="A2" s="2" t="s">
        <v>91</v>
      </c>
    </row>
    <row r="4" customFormat="false" ht="15" hidden="false" customHeight="true" outlineLevel="0" collapsed="false">
      <c r="A4" s="6" t="s">
        <v>19</v>
      </c>
      <c r="B4" s="6"/>
      <c r="C4" s="6"/>
      <c r="D4" s="6"/>
      <c r="E4" s="6"/>
      <c r="F4" s="6"/>
    </row>
    <row r="6" customFormat="false" ht="30" hidden="false" customHeight="true" outlineLevel="0" collapsed="false">
      <c r="A6" s="3" t="s">
        <v>92</v>
      </c>
      <c r="B6" s="3" t="s">
        <v>93</v>
      </c>
      <c r="C6" s="3" t="s">
        <v>94</v>
      </c>
      <c r="D6" s="3" t="s">
        <v>95</v>
      </c>
      <c r="E6" s="3" t="s">
        <v>96</v>
      </c>
      <c r="F6" s="3" t="s">
        <v>97</v>
      </c>
    </row>
    <row r="7" customFormat="false" ht="15" hidden="false" customHeight="false" outlineLevel="0" collapsed="false">
      <c r="A7" s="8" t="s">
        <v>98</v>
      </c>
      <c r="B7" s="8" t="s">
        <v>99</v>
      </c>
      <c r="C7" s="14" t="n">
        <v>2500</v>
      </c>
      <c r="D7" s="8" t="s">
        <v>100</v>
      </c>
      <c r="E7" s="8" t="s">
        <v>101</v>
      </c>
      <c r="F7" s="8" t="s">
        <v>102</v>
      </c>
    </row>
    <row r="8" customFormat="false" ht="15" hidden="false" customHeight="false" outlineLevel="0" collapsed="false">
      <c r="A8" s="8"/>
      <c r="B8" s="8"/>
      <c r="C8" s="14"/>
      <c r="D8" s="8"/>
      <c r="E8" s="8"/>
      <c r="F8" s="8"/>
    </row>
    <row r="9" customFormat="false" ht="15" hidden="false" customHeight="false" outlineLevel="0" collapsed="false">
      <c r="A9" s="8"/>
      <c r="B9" s="8"/>
      <c r="C9" s="14"/>
      <c r="D9" s="8"/>
      <c r="E9" s="8"/>
      <c r="F9" s="8"/>
    </row>
    <row r="10" customFormat="false" ht="15" hidden="false" customHeight="false" outlineLevel="0" collapsed="false">
      <c r="A10" s="8"/>
      <c r="B10" s="8"/>
      <c r="C10" s="14"/>
      <c r="D10" s="8"/>
      <c r="E10" s="8"/>
      <c r="F10" s="8"/>
    </row>
    <row r="11" customFormat="false" ht="15" hidden="false" customHeight="false" outlineLevel="0" collapsed="false">
      <c r="A11" s="8"/>
      <c r="B11" s="8"/>
      <c r="C11" s="14"/>
      <c r="D11" s="8"/>
      <c r="E11" s="8"/>
      <c r="F11" s="8"/>
    </row>
    <row r="12" customFormat="false" ht="15" hidden="false" customHeight="false" outlineLevel="0" collapsed="false">
      <c r="A12" s="8"/>
      <c r="B12" s="8"/>
      <c r="C12" s="14"/>
      <c r="D12" s="8"/>
      <c r="E12" s="8"/>
      <c r="F12" s="8"/>
    </row>
    <row r="13" customFormat="false" ht="15" hidden="false" customHeight="false" outlineLevel="0" collapsed="false">
      <c r="A13" s="8"/>
      <c r="B13" s="8"/>
      <c r="C13" s="14"/>
      <c r="D13" s="8"/>
      <c r="E13" s="8"/>
      <c r="F13" s="8"/>
    </row>
    <row r="14" customFormat="false" ht="15" hidden="false" customHeight="false" outlineLevel="0" collapsed="false">
      <c r="A14" s="8"/>
      <c r="B14" s="8"/>
      <c r="C14" s="14"/>
      <c r="D14" s="8"/>
      <c r="E14" s="8"/>
      <c r="F14" s="8"/>
    </row>
    <row r="15" customFormat="false" ht="15" hidden="false" customHeight="false" outlineLevel="0" collapsed="false">
      <c r="A15" s="8"/>
      <c r="B15" s="8"/>
      <c r="C15" s="14"/>
      <c r="D15" s="8"/>
      <c r="E15" s="8"/>
      <c r="F15" s="8"/>
    </row>
    <row r="16" customFormat="false" ht="15" hidden="false" customHeight="false" outlineLevel="0" collapsed="false">
      <c r="A16" s="8"/>
      <c r="B16" s="8"/>
      <c r="C16" s="14"/>
      <c r="D16" s="8"/>
      <c r="E16" s="8"/>
      <c r="F16" s="8"/>
    </row>
    <row r="17" customFormat="false" ht="15" hidden="false" customHeight="false" outlineLevel="0" collapsed="false">
      <c r="A17" s="8"/>
      <c r="B17" s="8"/>
      <c r="C17" s="14"/>
      <c r="D17" s="8"/>
      <c r="E17" s="8"/>
      <c r="F17" s="8"/>
    </row>
    <row r="18" customFormat="false" ht="15" hidden="false" customHeight="false" outlineLevel="0" collapsed="false">
      <c r="A18" s="8"/>
      <c r="B18" s="8"/>
      <c r="C18" s="14"/>
      <c r="D18" s="8"/>
      <c r="E18" s="8"/>
      <c r="F18" s="8"/>
    </row>
    <row r="19" customFormat="false" ht="15" hidden="false" customHeight="false" outlineLevel="0" collapsed="false">
      <c r="A19" s="8"/>
      <c r="B19" s="8"/>
      <c r="C19" s="14"/>
      <c r="D19" s="8"/>
      <c r="E19" s="8"/>
      <c r="F19" s="8"/>
    </row>
    <row r="20" customFormat="false" ht="15" hidden="false" customHeight="false" outlineLevel="0" collapsed="false">
      <c r="A20" s="8"/>
      <c r="B20" s="8"/>
      <c r="C20" s="14"/>
      <c r="D20" s="8"/>
      <c r="E20" s="8"/>
      <c r="F20" s="8"/>
    </row>
    <row r="21" customFormat="false" ht="15" hidden="false" customHeight="false" outlineLevel="0" collapsed="false">
      <c r="A21" s="8"/>
      <c r="B21" s="8"/>
      <c r="C21" s="14"/>
      <c r="D21" s="8"/>
      <c r="E21" s="8"/>
      <c r="F21" s="8"/>
    </row>
    <row r="22" customFormat="false" ht="15" hidden="false" customHeight="false" outlineLevel="0" collapsed="false">
      <c r="A22" s="8"/>
      <c r="B22" s="8"/>
      <c r="C22" s="14"/>
      <c r="D22" s="8"/>
      <c r="E22" s="8"/>
      <c r="F22" s="8"/>
    </row>
    <row r="23" customFormat="false" ht="15" hidden="false" customHeight="false" outlineLevel="0" collapsed="false">
      <c r="A23" s="8"/>
      <c r="B23" s="8"/>
      <c r="C23" s="14"/>
      <c r="D23" s="8"/>
      <c r="E23" s="8"/>
      <c r="F23" s="8"/>
    </row>
    <row r="24" customFormat="false" ht="15" hidden="false" customHeight="false" outlineLevel="0" collapsed="false">
      <c r="A24" s="8"/>
      <c r="B24" s="8"/>
      <c r="C24" s="14"/>
      <c r="D24" s="8"/>
      <c r="E24" s="8"/>
      <c r="F24" s="8"/>
    </row>
    <row r="25" customFormat="false" ht="15" hidden="false" customHeight="false" outlineLevel="0" collapsed="false">
      <c r="A25" s="8"/>
      <c r="B25" s="8"/>
      <c r="C25" s="14"/>
      <c r="D25" s="8"/>
      <c r="E25" s="8"/>
      <c r="F25" s="8"/>
    </row>
    <row r="26" customFormat="false" ht="15" hidden="false" customHeight="false" outlineLevel="0" collapsed="false">
      <c r="A26" s="8"/>
      <c r="B26" s="8"/>
      <c r="C26" s="14"/>
      <c r="D26" s="8"/>
      <c r="E26" s="8"/>
      <c r="F26" s="8"/>
    </row>
    <row r="27" customFormat="false" ht="15" hidden="false" customHeight="false" outlineLevel="0" collapsed="false">
      <c r="A27" s="8"/>
      <c r="B27" s="8"/>
      <c r="C27" s="14"/>
      <c r="D27" s="8"/>
      <c r="E27" s="8"/>
      <c r="F27" s="8"/>
    </row>
    <row r="28" customFormat="false" ht="15" hidden="false" customHeight="false" outlineLevel="0" collapsed="false">
      <c r="A28" s="8"/>
      <c r="B28" s="8"/>
      <c r="C28" s="14"/>
      <c r="D28" s="8"/>
      <c r="E28" s="8"/>
      <c r="F28" s="8"/>
    </row>
    <row r="29" customFormat="false" ht="15" hidden="false" customHeight="false" outlineLevel="0" collapsed="false">
      <c r="A29" s="8"/>
      <c r="B29" s="8"/>
      <c r="C29" s="14"/>
      <c r="D29" s="8"/>
      <c r="E29" s="8"/>
      <c r="F29" s="8"/>
    </row>
    <row r="30" customFormat="false" ht="15" hidden="false" customHeight="false" outlineLevel="0" collapsed="false">
      <c r="A30" s="8"/>
      <c r="B30" s="8"/>
      <c r="C30" s="14"/>
      <c r="D30" s="8"/>
      <c r="E30" s="8"/>
      <c r="F30" s="8"/>
    </row>
    <row r="31" customFormat="false" ht="15" hidden="false" customHeight="false" outlineLevel="0" collapsed="false">
      <c r="A31" s="8"/>
      <c r="B31" s="8"/>
      <c r="C31" s="14"/>
      <c r="D31" s="8"/>
      <c r="E31" s="8"/>
      <c r="F31" s="8"/>
    </row>
    <row r="33" customFormat="false" ht="15" hidden="false" customHeight="false" outlineLevel="0" collapsed="false">
      <c r="A33" s="9" t="s">
        <v>103</v>
      </c>
      <c r="C33" s="10" t="n">
        <f aca="false">COUNTA(A7:A31)</f>
        <v>1</v>
      </c>
    </row>
    <row r="34" customFormat="false" ht="15" hidden="false" customHeight="false" outlineLevel="0" collapsed="false">
      <c r="A34" s="9" t="s">
        <v>104</v>
      </c>
      <c r="C34" s="10" t="n">
        <f aca="false">COUNTIFS(A7:A31,"&lt;&gt;",C7:C31,"")</f>
        <v>0</v>
      </c>
    </row>
    <row r="35" customFormat="false" ht="15" hidden="false" customHeight="false" outlineLevel="0" collapsed="false">
      <c r="A35" s="9" t="s">
        <v>105</v>
      </c>
      <c r="C35" s="10" t="n">
        <f aca="false">COUNTIF(F7:F31,"Oui")</f>
        <v>0</v>
      </c>
    </row>
  </sheetData>
  <mergeCells count="1">
    <mergeCell ref="A4:F4"/>
  </mergeCells>
  <dataValidations count="1">
    <dataValidation allowBlank="true" errorStyle="stop" operator="between" showDropDown="false" showErrorMessage="false" showInputMessage="false" sqref="E7:F31" type="list">
      <formula1>"Oui,Non"</formula1>
      <formula2>0</formula2>
    </dataValidation>
  </dataValidations>
  <printOptions headings="false" gridLines="false" gridLinesSet="true" horizontalCentered="true" verticalCentered="false"/>
  <pageMargins left="0.4" right="0.4" top="1" bottom="1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&amp;C&amp;8 CADE / CCIAK · Yokkute PME · page 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4"/>
  </cols>
  <sheetData>
    <row r="1" customFormat="false" ht="18.55" hidden="false" customHeight="false" outlineLevel="0" collapsed="false">
      <c r="A1" s="1" t="s">
        <v>106</v>
      </c>
    </row>
    <row r="2" customFormat="false" ht="15" hidden="false" customHeight="false" outlineLevel="0" collapsed="false">
      <c r="A2" s="2" t="s">
        <v>107</v>
      </c>
    </row>
    <row r="4" customFormat="false" ht="21.75" hidden="false" customHeight="true" outlineLevel="0" collapsed="false">
      <c r="A4" s="19" t="s">
        <v>108</v>
      </c>
      <c r="B4" s="19"/>
    </row>
    <row r="5" customFormat="false" ht="21.75" hidden="false" customHeight="true" outlineLevel="0" collapsed="false">
      <c r="A5" s="19" t="s">
        <v>109</v>
      </c>
      <c r="B5" s="19"/>
    </row>
    <row r="6" customFormat="false" ht="21.75" hidden="false" customHeight="true" outlineLevel="0" collapsed="false">
      <c r="A6" s="19" t="s">
        <v>110</v>
      </c>
      <c r="B6" s="19"/>
    </row>
    <row r="7" customFormat="false" ht="21.75" hidden="false" customHeight="true" outlineLevel="0" collapsed="false">
      <c r="A7" s="19" t="s">
        <v>111</v>
      </c>
      <c r="B7" s="19"/>
    </row>
    <row r="8" customFormat="false" ht="21.75" hidden="false" customHeight="true" outlineLevel="0" collapsed="false">
      <c r="A8" s="19" t="s">
        <v>112</v>
      </c>
      <c r="B8" s="19"/>
    </row>
    <row r="10" customFormat="false" ht="15" hidden="false" customHeight="true" outlineLevel="0" collapsed="false">
      <c r="A10" s="6" t="s">
        <v>19</v>
      </c>
      <c r="B10" s="6"/>
    </row>
    <row r="12" customFormat="false" ht="30" hidden="false" customHeight="true" outlineLevel="0" collapsed="false">
      <c r="A12" s="3" t="s">
        <v>113</v>
      </c>
      <c r="B12" s="3" t="s">
        <v>114</v>
      </c>
    </row>
    <row r="13" customFormat="false" ht="21.75" hidden="false" customHeight="true" outlineLevel="0" collapsed="false">
      <c r="A13" s="5" t="s">
        <v>115</v>
      </c>
      <c r="B13" s="8"/>
    </row>
    <row r="14" customFormat="false" ht="21.75" hidden="false" customHeight="true" outlineLevel="0" collapsed="false">
      <c r="A14" s="5" t="s">
        <v>116</v>
      </c>
      <c r="B14" s="8"/>
    </row>
    <row r="15" customFormat="false" ht="21.75" hidden="false" customHeight="true" outlineLevel="0" collapsed="false">
      <c r="A15" s="5" t="s">
        <v>117</v>
      </c>
      <c r="B15" s="8"/>
    </row>
    <row r="16" customFormat="false" ht="21.75" hidden="false" customHeight="true" outlineLevel="0" collapsed="false">
      <c r="A16" s="5" t="s">
        <v>118</v>
      </c>
      <c r="B16" s="8"/>
    </row>
    <row r="17" customFormat="false" ht="21.75" hidden="false" customHeight="true" outlineLevel="0" collapsed="false">
      <c r="A17" s="5" t="s">
        <v>119</v>
      </c>
      <c r="B17" s="8"/>
    </row>
    <row r="18" customFormat="false" ht="21.75" hidden="false" customHeight="true" outlineLevel="0" collapsed="false">
      <c r="A18" s="5" t="s">
        <v>120</v>
      </c>
      <c r="B18" s="8"/>
    </row>
    <row r="19" customFormat="false" ht="21.75" hidden="false" customHeight="true" outlineLevel="0" collapsed="false">
      <c r="A19" s="5" t="s">
        <v>121</v>
      </c>
      <c r="B19" s="8"/>
    </row>
    <row r="20" customFormat="false" ht="21.75" hidden="false" customHeight="true" outlineLevel="0" collapsed="false">
      <c r="A20" s="5" t="s">
        <v>122</v>
      </c>
      <c r="B20" s="8"/>
    </row>
    <row r="22" customFormat="false" ht="15" hidden="false" customHeight="false" outlineLevel="0" collapsed="false">
      <c r="A22" s="9" t="s">
        <v>123</v>
      </c>
      <c r="B22" s="20" t="str">
        <f aca="false">COUNTIF(B13:B20,"Oui")&amp;" / 8"</f>
        <v>0 / 8</v>
      </c>
    </row>
  </sheetData>
  <mergeCells count="6">
    <mergeCell ref="A4:B4"/>
    <mergeCell ref="A5:B5"/>
    <mergeCell ref="A6:B6"/>
    <mergeCell ref="A7:B7"/>
    <mergeCell ref="A8:B8"/>
    <mergeCell ref="A10:B10"/>
  </mergeCells>
  <dataValidations count="1">
    <dataValidation allowBlank="true" errorStyle="stop" operator="between" showDropDown="false" showErrorMessage="false" showInputMessage="false" sqref="B13:B20" type="list">
      <formula1>"Oui,Non"</formula1>
      <formula2>0</formula2>
    </dataValidation>
  </dataValidations>
  <printOptions headings="false" gridLines="false" gridLinesSet="true" horizontalCentered="true" verticalCentered="false"/>
  <pageMargins left="0.4" right="0.4" top="1" bottom="1" header="0.511811023622047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&amp;C&amp;8 CADE / CCIAK · Yokkute PME · page 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8"/>
    <col collapsed="false" customWidth="true" hidden="false" outlineLevel="0" max="3" min="3" style="0" width="22"/>
    <col collapsed="false" customWidth="true" hidden="false" outlineLevel="0" max="4" min="4" style="0" width="14"/>
  </cols>
  <sheetData>
    <row r="1" customFormat="false" ht="18.55" hidden="false" customHeight="false" outlineLevel="0" collapsed="false">
      <c r="A1" s="1" t="s">
        <v>124</v>
      </c>
    </row>
    <row r="2" customFormat="false" ht="15" hidden="false" customHeight="false" outlineLevel="0" collapsed="false">
      <c r="A2" s="2" t="s">
        <v>125</v>
      </c>
    </row>
    <row r="4" customFormat="false" ht="48" hidden="false" customHeight="true" outlineLevel="0" collapsed="false">
      <c r="A4" s="21" t="s">
        <v>126</v>
      </c>
      <c r="B4" s="21"/>
      <c r="C4" s="21"/>
      <c r="D4" s="21"/>
    </row>
    <row r="6" customFormat="false" ht="15" hidden="false" customHeight="true" outlineLevel="0" collapsed="false">
      <c r="A6" s="22" t="s">
        <v>127</v>
      </c>
      <c r="B6" s="22"/>
      <c r="C6" s="22"/>
      <c r="D6" s="22"/>
    </row>
    <row r="7" customFormat="false" ht="30" hidden="false" customHeight="true" outlineLevel="0" collapsed="false">
      <c r="A7" s="3" t="s">
        <v>20</v>
      </c>
      <c r="B7" s="3" t="s">
        <v>21</v>
      </c>
      <c r="C7" s="3" t="s">
        <v>22</v>
      </c>
    </row>
    <row r="8" customFormat="false" ht="25.5" hidden="false" customHeight="true" outlineLevel="0" collapsed="false">
      <c r="A8" s="7" t="n">
        <v>1</v>
      </c>
      <c r="B8" s="5" t="s">
        <v>23</v>
      </c>
      <c r="C8" s="8" t="s">
        <v>101</v>
      </c>
    </row>
    <row r="9" customFormat="false" ht="25.5" hidden="false" customHeight="true" outlineLevel="0" collapsed="false">
      <c r="A9" s="7" t="n">
        <v>2</v>
      </c>
      <c r="B9" s="5" t="s">
        <v>24</v>
      </c>
      <c r="C9" s="8" t="s">
        <v>101</v>
      </c>
    </row>
    <row r="10" customFormat="false" ht="25.5" hidden="false" customHeight="true" outlineLevel="0" collapsed="false">
      <c r="A10" s="7" t="n">
        <v>3</v>
      </c>
      <c r="B10" s="5" t="s">
        <v>25</v>
      </c>
      <c r="C10" s="8" t="s">
        <v>102</v>
      </c>
    </row>
    <row r="11" customFormat="false" ht="25.5" hidden="false" customHeight="true" outlineLevel="0" collapsed="false">
      <c r="A11" s="7" t="n">
        <v>4</v>
      </c>
      <c r="B11" s="5" t="s">
        <v>26</v>
      </c>
      <c r="C11" s="8" t="s">
        <v>102</v>
      </c>
    </row>
    <row r="12" customFormat="false" ht="25.5" hidden="false" customHeight="true" outlineLevel="0" collapsed="false">
      <c r="A12" s="7" t="n">
        <v>5</v>
      </c>
      <c r="B12" s="5" t="s">
        <v>27</v>
      </c>
      <c r="C12" s="8" t="s">
        <v>102</v>
      </c>
    </row>
    <row r="13" customFormat="false" ht="25.5" hidden="false" customHeight="true" outlineLevel="0" collapsed="false">
      <c r="A13" s="7" t="n">
        <v>6</v>
      </c>
      <c r="B13" s="5" t="s">
        <v>28</v>
      </c>
      <c r="C13" s="8" t="s">
        <v>102</v>
      </c>
    </row>
    <row r="14" customFormat="false" ht="25.5" hidden="false" customHeight="true" outlineLevel="0" collapsed="false">
      <c r="A14" s="7" t="n">
        <v>7</v>
      </c>
      <c r="B14" s="5" t="s">
        <v>29</v>
      </c>
      <c r="C14" s="8" t="s">
        <v>102</v>
      </c>
    </row>
    <row r="15" customFormat="false" ht="25.5" hidden="false" customHeight="true" outlineLevel="0" collapsed="false">
      <c r="A15" s="7" t="n">
        <v>8</v>
      </c>
      <c r="B15" s="5" t="s">
        <v>30</v>
      </c>
      <c r="C15" s="8" t="s">
        <v>102</v>
      </c>
    </row>
    <row r="16" customFormat="false" ht="25.5" hidden="false" customHeight="true" outlineLevel="0" collapsed="false">
      <c r="A16" s="7" t="n">
        <v>9</v>
      </c>
      <c r="B16" s="5" t="s">
        <v>31</v>
      </c>
      <c r="C16" s="8" t="s">
        <v>102</v>
      </c>
    </row>
    <row r="17" customFormat="false" ht="25.5" hidden="false" customHeight="true" outlineLevel="0" collapsed="false">
      <c r="A17" s="7" t="n">
        <v>10</v>
      </c>
      <c r="B17" s="5" t="s">
        <v>32</v>
      </c>
      <c r="C17" s="8" t="s">
        <v>102</v>
      </c>
    </row>
    <row r="19" customFormat="false" ht="15" hidden="false" customHeight="false" outlineLevel="0" collapsed="false">
      <c r="B19" s="9" t="s">
        <v>33</v>
      </c>
      <c r="C19" s="10" t="n">
        <f aca="false">IF(COUNTA(C8:C17)=0,"",IF(AND(C10="Oui",C12="Oui",C13="Oui",C14="Oui",C17="Oui"),5,IF(AND(C10="Oui",C12="Oui",C13="Oui",C14="Oui"),4,IF(AND(C10="Oui",C12="Oui"),3,IF(C9="Oui",2,1)))))</f>
        <v>2</v>
      </c>
    </row>
    <row r="20" customFormat="false" ht="39.75" hidden="false" customHeight="true" outlineLevel="0" collapsed="false">
      <c r="B20" s="4" t="s">
        <v>34</v>
      </c>
      <c r="C20" s="11" t="str">
        <f aca="false">IF(C19="","",CHOOSE(C19,"Niveau 1 · appels seulement, paiements en espèces","Niveau 2 · paiement mobile sur numéro personnel","Niveau 3 · numéro dédié, catalogue en ligne","Niveau 4 · ventes suivies sur tableur, promotion régulière","Niveau 5 · logiciel de gestion, vente en ligne"))</f>
        <v>Niveau 2 · paiement mobile sur numéro personnel</v>
      </c>
    </row>
    <row r="21" customFormat="false" ht="15" hidden="false" customHeight="false" outlineLevel="0" collapsed="false">
      <c r="B21" s="4" t="s">
        <v>35</v>
      </c>
      <c r="C21" s="12" t="str">
        <f aca="false">COUNTIF(C15:C16,"Oui")&amp;" / 2"</f>
        <v>0 / 2</v>
      </c>
    </row>
    <row r="23" customFormat="false" ht="15" hidden="false" customHeight="true" outlineLevel="0" collapsed="false">
      <c r="A23" s="22" t="s">
        <v>128</v>
      </c>
      <c r="B23" s="22"/>
      <c r="C23" s="22"/>
      <c r="D23" s="22"/>
    </row>
    <row r="24" customFormat="false" ht="15" hidden="false" customHeight="false" outlineLevel="0" collapsed="false">
      <c r="B24" s="7" t="s">
        <v>129</v>
      </c>
      <c r="C24" s="14" t="n">
        <v>540000</v>
      </c>
    </row>
    <row r="25" customFormat="false" ht="15" hidden="false" customHeight="false" outlineLevel="0" collapsed="false">
      <c r="B25" s="7" t="s">
        <v>130</v>
      </c>
      <c r="C25" s="14" t="n">
        <v>240000</v>
      </c>
    </row>
    <row r="26" customFormat="false" ht="15" hidden="false" customHeight="false" outlineLevel="0" collapsed="false">
      <c r="B26" s="7" t="s">
        <v>131</v>
      </c>
      <c r="C26" s="14" t="n">
        <v>420000</v>
      </c>
    </row>
    <row r="27" customFormat="false" ht="15" hidden="false" customHeight="false" outlineLevel="0" collapsed="false">
      <c r="B27" s="7" t="s">
        <v>132</v>
      </c>
      <c r="C27" s="14" t="n">
        <v>310000</v>
      </c>
    </row>
    <row r="28" customFormat="false" ht="15" hidden="false" customHeight="false" outlineLevel="0" collapsed="false">
      <c r="B28" s="7" t="s">
        <v>133</v>
      </c>
      <c r="C28" s="14" t="n">
        <v>45000</v>
      </c>
    </row>
    <row r="29" customFormat="false" ht="15" hidden="false" customHeight="false" outlineLevel="0" collapsed="false">
      <c r="B29" s="7" t="s">
        <v>134</v>
      </c>
      <c r="C29" s="23" t="n">
        <v>0.3</v>
      </c>
    </row>
    <row r="30" customFormat="false" ht="15" hidden="false" customHeight="false" outlineLevel="0" collapsed="false">
      <c r="B30" s="9" t="s">
        <v>135</v>
      </c>
      <c r="C30" s="17" t="n">
        <f aca="false">C24+C25</f>
        <v>780000</v>
      </c>
    </row>
    <row r="31" customFormat="false" ht="15" hidden="false" customHeight="false" outlineLevel="0" collapsed="false">
      <c r="B31" s="9" t="s">
        <v>136</v>
      </c>
      <c r="C31" s="24" t="n">
        <f aca="false">C25/C30</f>
        <v>0.307692307692308</v>
      </c>
    </row>
    <row r="32" customFormat="false" ht="15" hidden="false" customHeight="false" outlineLevel="0" collapsed="false">
      <c r="B32" s="9" t="s">
        <v>137</v>
      </c>
      <c r="C32" s="17" t="n">
        <f aca="false">C28*(1-C29)</f>
        <v>31500</v>
      </c>
    </row>
    <row r="33" customFormat="false" ht="15" hidden="false" customHeight="false" outlineLevel="0" collapsed="false">
      <c r="B33" s="9" t="s">
        <v>138</v>
      </c>
      <c r="C33" s="17" t="n">
        <f aca="false">C32/C29</f>
        <v>105000</v>
      </c>
    </row>
    <row r="35" customFormat="false" ht="15" hidden="false" customHeight="true" outlineLevel="0" collapsed="false">
      <c r="A35" s="22" t="s">
        <v>139</v>
      </c>
      <c r="B35" s="22"/>
      <c r="C35" s="22"/>
      <c r="D35" s="22"/>
    </row>
    <row r="36" customFormat="false" ht="15" hidden="false" customHeight="false" outlineLevel="0" collapsed="false">
      <c r="B36" s="7" t="s">
        <v>140</v>
      </c>
      <c r="C36" s="25" t="n">
        <v>2</v>
      </c>
    </row>
    <row r="37" customFormat="false" ht="15" hidden="false" customHeight="false" outlineLevel="0" collapsed="false">
      <c r="B37" s="7" t="s">
        <v>141</v>
      </c>
      <c r="C37" s="25" t="n">
        <v>26</v>
      </c>
    </row>
    <row r="38" customFormat="false" ht="15" hidden="false" customHeight="false" outlineLevel="0" collapsed="false">
      <c r="B38" s="7" t="s">
        <v>142</v>
      </c>
      <c r="C38" s="23" t="n">
        <v>0.5</v>
      </c>
    </row>
    <row r="39" customFormat="false" ht="15" hidden="false" customHeight="false" outlineLevel="0" collapsed="false">
      <c r="B39" s="9" t="s">
        <v>143</v>
      </c>
      <c r="C39" s="10" t="n">
        <f aca="false">C36*C37*C38</f>
        <v>26</v>
      </c>
    </row>
    <row r="41" customFormat="false" ht="15" hidden="false" customHeight="true" outlineLevel="0" collapsed="false">
      <c r="A41" s="22" t="s">
        <v>144</v>
      </c>
      <c r="B41" s="22"/>
      <c r="C41" s="22"/>
      <c r="D41" s="22"/>
    </row>
    <row r="42" customFormat="false" ht="30" hidden="false" customHeight="true" outlineLevel="0" collapsed="false">
      <c r="A42" s="3"/>
      <c r="B42" s="3" t="s">
        <v>145</v>
      </c>
      <c r="C42" s="3" t="s">
        <v>146</v>
      </c>
      <c r="D42" s="3"/>
    </row>
    <row r="43" customFormat="false" ht="30" hidden="false" customHeight="true" outlineLevel="0" collapsed="false">
      <c r="A43" s="7" t="n">
        <v>1</v>
      </c>
      <c r="B43" s="13" t="s">
        <v>147</v>
      </c>
      <c r="C43" s="13" t="s">
        <v>148</v>
      </c>
      <c r="D43" s="13"/>
    </row>
    <row r="44" customFormat="false" ht="30" hidden="false" customHeight="true" outlineLevel="0" collapsed="false">
      <c r="A44" s="7" t="n">
        <v>2</v>
      </c>
      <c r="B44" s="13" t="s">
        <v>149</v>
      </c>
      <c r="C44" s="13" t="s">
        <v>150</v>
      </c>
      <c r="D44" s="13"/>
    </row>
    <row r="45" customFormat="false" ht="30" hidden="false" customHeight="true" outlineLevel="0" collapsed="false">
      <c r="A45" s="7" t="n">
        <v>3</v>
      </c>
      <c r="B45" s="13" t="s">
        <v>151</v>
      </c>
      <c r="C45" s="13" t="s">
        <v>152</v>
      </c>
      <c r="D45" s="13"/>
    </row>
  </sheetData>
  <mergeCells count="9">
    <mergeCell ref="A4:D4"/>
    <mergeCell ref="A6:D6"/>
    <mergeCell ref="A23:D23"/>
    <mergeCell ref="A35:D35"/>
    <mergeCell ref="A41:D41"/>
    <mergeCell ref="C42:D42"/>
    <mergeCell ref="C43:D43"/>
    <mergeCell ref="C44:D44"/>
    <mergeCell ref="C45:D45"/>
  </mergeCells>
  <dataValidations count="1">
    <dataValidation allowBlank="true" errorStyle="stop" operator="between" showDropDown="false" showErrorMessage="false" showInputMessage="false" sqref="C8:C17" type="list">
      <formula1>"Oui,Non"</formula1>
      <formula2>0</formula2>
    </dataValidation>
  </dataValidations>
  <printOptions headings="false" gridLines="false" gridLinesSet="true" horizontalCentered="true" verticalCentered="false"/>
  <pageMargins left="0.4" right="0.4" top="1" bottom="1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CADE / CCIAK · Yokkute PME · page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2026-10-30T13:07:18Z</dcterms:created>
  <dc:creator>openpyxl</dc:creator>
  <dc:description/>
  <dc:language>en-US</dc:language>
  <cp:lastModifiedBy/>
  <dcterms:modified xsi:type="dcterms:W3CDTF">2026-10-30T13:07:18Z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