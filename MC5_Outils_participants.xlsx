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_d_emploi" sheetId="1" state="visible" r:id="rId3"/>
    <sheet name="Plan_delegation" sheetId="2" state="visible" r:id="rId4"/>
    <sheet name="Fiche_de_poste" sheetId="3" state="visible" r:id="rId5"/>
    <sheet name="Contrat_simple" sheetId="4" state="visible" r:id="rId6"/>
    <sheet name="Planning" sheetId="5" state="visible" r:id="rId7"/>
    <sheet name="Cas_Amin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<sst xmlns="http://schemas.openxmlformats.org/spreadsheetml/2006/main" count="142" uniqueCount="118">
  <si>
    <t xml:space="preserve">MC5 · Déléguer et organiser son équipe</t>
  </si>
  <si>
    <t xml:space="preserve">Outils participants · TAXAWU PME Module 5 · CADE / CCIAK</t>
  </si>
  <si>
    <t xml:space="preserve">Onglet</t>
  </si>
  <si>
    <t xml:space="preserve">Usage</t>
  </si>
  <si>
    <t xml:space="preserve">Plan_delegation</t>
  </si>
  <si>
    <t xml:space="preserve">Mes tâches et leur temps ; les cinq que je confie, à qui, comment je transmets et contrôle ; heures libérées.</t>
  </si>
  <si>
    <t xml:space="preserve">Fiche_de_poste</t>
  </si>
  <si>
    <t xml:space="preserve">Une fiche par employé : mission, tâches, responsable, horaires, attentes.</t>
  </si>
  <si>
    <t xml:space="preserve">Contrat_simple</t>
  </si>
  <si>
    <t xml:space="preserve">Modèle de contrat de travail avec ses mentions essentielles, à faire vérifier par l'Inspection du travail.</t>
  </si>
  <si>
    <t xml:space="preserve">Planning</t>
  </si>
  <si>
    <t xml:space="preserve">Qui travaille quel jour ; contrôle que chaque jour d'ouverture est couvert.</t>
  </si>
  <si>
    <t xml:space="preserve">Cas_Aminata</t>
  </si>
  <si>
    <t xml:space="preserve">Le cas pratique de la séance, avec un corrigé possible.</t>
  </si>
  <si>
    <t xml:space="preserve">Cellules jaunes à texte bleu : à remplir. Les repères juridiques (SMIG, contrats) sont donnés à titre indicatif : vérifiez-les auprès de l'Inspection régionale du travail avant de signer un contrat.</t>
  </si>
  <si>
    <t xml:space="preserve">Plan de délégation</t>
  </si>
  <si>
    <t xml:space="preserve">Garder l'argent, les gros clients et les décisions ; confier ce qui prend du temps et s'apprend</t>
  </si>
  <si>
    <t xml:space="preserve">Cellules jaunes à texte bleu : à remplir. Cellules blanches : calculées automatiquement, ne pas modifier.</t>
  </si>
  <si>
    <t xml:space="preserve">Tâche</t>
  </si>
  <si>
    <t xml:space="preserve">Heures par jour</t>
  </si>
  <si>
    <t xml:space="preserve">Je garde ou je confie</t>
  </si>
  <si>
    <t xml:space="preserve">À qui</t>
  </si>
  <si>
    <t xml:space="preserve">Remplaçant</t>
  </si>
  <si>
    <t xml:space="preserve">Comment je transmets</t>
  </si>
  <si>
    <t xml:space="preserve">Comment je contrôle</t>
  </si>
  <si>
    <t xml:space="preserve">Autonome le</t>
  </si>
  <si>
    <t xml:space="preserve">Total des heures par jour</t>
  </si>
  <si>
    <t xml:space="preserve">Heures des tâches confiées</t>
  </si>
  <si>
    <t xml:space="preserve">Tâches confiées</t>
  </si>
  <si>
    <t xml:space="preserve">Tâches confiées sans remplaçant</t>
  </si>
  <si>
    <t xml:space="preserve">Les quatre temps : expliquer (résultat attendu et limites), montrer, laisser faire en contrôlant, contrôler de loin. Écrivez les limites de chaque délégation : budget maximal, décisions à ne pas prendre seul.</t>
  </si>
  <si>
    <t xml:space="preserve">Fiche de poste</t>
  </si>
  <si>
    <t xml:space="preserve">Une fiche par employé · à remettre et expliquer</t>
  </si>
  <si>
    <t xml:space="preserve">Entreprise</t>
  </si>
  <si>
    <t xml:space="preserve">Intitulé du poste</t>
  </si>
  <si>
    <t xml:space="preserve">Nom de la personne</t>
  </si>
  <si>
    <t xml:space="preserve">Mission (une phrase : à quoi sert ce poste)</t>
  </si>
  <si>
    <t xml:space="preserve">Tâches principales</t>
  </si>
  <si>
    <t xml:space="preserve">Rend compte à</t>
  </si>
  <si>
    <t xml:space="preserve">Remplace / est remplacé par</t>
  </si>
  <si>
    <t xml:space="preserve">Horaires et jour de repos</t>
  </si>
  <si>
    <t xml:space="preserve">Ce qu'on attend (résultats vérifiables)</t>
  </si>
  <si>
    <t xml:space="preserve">Date de remise et signatures</t>
  </si>
  <si>
    <t xml:space="preserve">Modèle de contrat de travail simple</t>
  </si>
  <si>
    <t xml:space="preserve">À compléter, puis à faire vérifier par l'Inspection régionale du travail avant signature</t>
  </si>
  <si>
    <t xml:space="preserve">ENTRE LES SOUSSIGNÉS</t>
  </si>
  <si>
    <t xml:space="preserve">L'employeur : [nom de l'entreprise], [forme juridique], NINEA [……], RCCM [……], dont le siège est à [adresse], représentée par [prénom et nom], ci-après « l'employeur » ;</t>
  </si>
  <si>
    <t xml:space="preserve">ET</t>
  </si>
  <si>
    <t xml:space="preserve">Le salarié : [prénom et nom], né(e) le [……] à [……], domicilié(e) à [……], titulaire de la pièce d'identité n° [……], ci-après « le salarié » ;</t>
  </si>
  <si>
    <t xml:space="preserve">IL A ÉTÉ CONVENU CE QUI SUIT :</t>
  </si>
  <si>
    <t xml:space="preserve">Article 1 · Engagement. Le salarié est engagé à compter du [date] en qualité de [emploi], catégorie [……] de la convention collective [nom, si applicable].</t>
  </si>
  <si>
    <t xml:space="preserve">Article 2 · Durée. Le présent contrat est conclu pour une durée [indéterminée] / [déterminée de … mois, du … au …, pour le motif suivant : …].</t>
  </si>
  <si>
    <t xml:space="preserve">Article 3 · Période d'essai. Le contrat ne devient définitif qu'à l'issue d'une période d'essai de [durée], pendant laquelle chaque partie peut y mettre fin [conditions à vérifier selon la catégorie].</t>
  </si>
  <si>
    <t xml:space="preserve">Article 4 · Lieu et horaires. Le salarié exerce ses fonctions à [lieu]. La durée du travail est de [……] heures par semaine, réparties selon le planning affiché ; jour de repos : [……].</t>
  </si>
  <si>
    <t xml:space="preserve">Article 5 · Rémunération. Le salarié perçoit un salaire mensuel brut de [……] FCFA, auquel s'ajoutent [primes, indemnités]. Le salaire ne peut être inférieur au minimum légal ou conventionnel applicable. Il est payé le [jour] de chaque mois par [espèces contre reçu / virement / mobile money].</t>
  </si>
  <si>
    <t xml:space="preserve">Article 6 · Fonctions. Les tâches du salarié sont décrites dans la fiche de poste annexée, qui peut évoluer après concertation.</t>
  </si>
  <si>
    <t xml:space="preserve">Article 7 · Protection sociale. L'employeur déclare le salarié à l'IPRES et à la Caisse de sécurité sociale et verse les cotisations dues.</t>
  </si>
  <si>
    <t xml:space="preserve">Article 8 · Congés. Le salarié bénéficie des congés payés prévus par la réglementation en vigueur.</t>
  </si>
  <si>
    <t xml:space="preserve">Article 9 · Fin du contrat. Le contrat prend fin dans les conditions prévues par le Code du travail et, le cas échéant, la convention collective.</t>
  </si>
  <si>
    <t xml:space="preserve">Fait à Kaolack, le [date], en deux exemplaires originaux.</t>
  </si>
  <si>
    <t xml:space="preserve">L'employeur (signature précédée de « lu et approuvé »)                     Le salarié (signature précédée de « lu et approuvé »)</t>
  </si>
  <si>
    <t xml:space="preserve">Repère : depuis juillet 2023, le SMIG est de 370,526 FCFA de l'heure (décret n° 2023-1710 du 7 août 2023), soit environ 64 200 FCFA par mois pour 173,33 heures. Un nouveau Code du travail était en examen à l'Assemblée nationale en 2026. Faites vérifier ce modèle avant usage.</t>
  </si>
  <si>
    <t xml:space="preserve">Contrôle des mentions essentielles (cochez Oui)</t>
  </si>
  <si>
    <t xml:space="preserve">Identité complète de l'employeur et du salarié</t>
  </si>
  <si>
    <t xml:space="preserve">Date d'embauche</t>
  </si>
  <si>
    <t xml:space="preserve">Emploi, catégorie et lieu de travail</t>
  </si>
  <si>
    <t xml:space="preserve">Durée du contrat (et motif et terme si CDD)</t>
  </si>
  <si>
    <t xml:space="preserve">Période d'essai</t>
  </si>
  <si>
    <t xml:space="preserve">Salaire au moins égal au minimum applicable</t>
  </si>
  <si>
    <t xml:space="preserve">Durée du travail et jour de repos</t>
  </si>
  <si>
    <t xml:space="preserve">Déclaration IPRES et CSS prévue</t>
  </si>
  <si>
    <t xml:space="preserve">Deux exemplaires signés</t>
  </si>
  <si>
    <t xml:space="preserve">Mentions complètes</t>
  </si>
  <si>
    <t xml:space="preserve">Planning hebdomadaire de l'équipe</t>
  </si>
  <si>
    <t xml:space="preserve">Qui travaille quel jour · M = matin, S = soir, J = journée, R = repos</t>
  </si>
  <si>
    <t xml:space="preserve">Semaine du</t>
  </si>
  <si>
    <t xml:space="preserve">Personne (poste)</t>
  </si>
  <si>
    <t xml:space="preserve">Lun.</t>
  </si>
  <si>
    <t xml:space="preserve">Mar.</t>
  </si>
  <si>
    <t xml:space="preserve">Mer.</t>
  </si>
  <si>
    <t xml:space="preserve">Jeu.</t>
  </si>
  <si>
    <t xml:space="preserve">Ven.</t>
  </si>
  <si>
    <t xml:space="preserve">Sam.</t>
  </si>
  <si>
    <t xml:space="preserve">Dim.</t>
  </si>
  <si>
    <t xml:space="preserve">Jours travaillés</t>
  </si>
  <si>
    <t xml:space="preserve">Personnes présentes</t>
  </si>
  <si>
    <t xml:space="preserve">Minimum nécessaire par jour</t>
  </si>
  <si>
    <t xml:space="preserve">Jour sous-effectif ?</t>
  </si>
  <si>
    <t xml:space="preserve">Cas pratique · Aminata, restauratrice près de la gare routière</t>
  </si>
  <si>
    <t xml:space="preserve">Un corrigé possible</t>
  </si>
  <si>
    <t xml:space="preserve">Une cuisinière, deux serveuses, une aide. Aminata travaille de 6 h à 22 h ; quand elle s'absente, le restaurant ferme. Les clients lui demandent de plus en plus de repas de cérémonie.</t>
  </si>
  <si>
    <t xml:space="preserve">Achats au marché</t>
  </si>
  <si>
    <t xml:space="preserve">Je confie</t>
  </si>
  <si>
    <t xml:space="preserve">La cuisinière</t>
  </si>
  <si>
    <t xml:space="preserve">L'aide</t>
  </si>
  <si>
    <t xml:space="preserve">Une semaine d'achats ensemble ; liste type et prix habituels ; budget journalier</t>
  </si>
  <si>
    <t xml:space="preserve">Cahier d'achats ; prix comparés chaque semaine ; qualité vérifiée</t>
  </si>
  <si>
    <t xml:space="preserve">Surveiller la préparation et la cuisson</t>
  </si>
  <si>
    <t xml:space="preserve">—</t>
  </si>
  <si>
    <t xml:space="preserve">Recettes écrites ; Aminata garde le goût final</t>
  </si>
  <si>
    <t xml:space="preserve">Dégustation à l'ouverture</t>
  </si>
  <si>
    <t xml:space="preserve">Accueil et service en salle</t>
  </si>
  <si>
    <t xml:space="preserve">Serveuse la plus ancienne</t>
  </si>
  <si>
    <t xml:space="preserve">2e serveuse</t>
  </si>
  <si>
    <t xml:space="preserve">Nommée responsable de salle devant l'équipe ; fiche de poste ; prime</t>
  </si>
  <si>
    <t xml:space="preserve">Passage aux heures de pointe ; avis des clients ; réunion le samedi</t>
  </si>
  <si>
    <t xml:space="preserve">Contrôle du nettoyage</t>
  </si>
  <si>
    <t xml:space="preserve">Responsable de salle</t>
  </si>
  <si>
    <t xml:space="preserve">Liste de contrôle affichée</t>
  </si>
  <si>
    <t xml:space="preserve">Vérification surprise une fois par semaine</t>
  </si>
  <si>
    <t xml:space="preserve">Planning de l'équipe</t>
  </si>
  <si>
    <t xml:space="preserve">Deux semaines de planning faits ensemble</t>
  </si>
  <si>
    <t xml:space="preserve">Planning affiché chaque lundi</t>
  </si>
  <si>
    <t xml:space="preserve">Encaissement en journée</t>
  </si>
  <si>
    <t xml:space="preserve">Je garde</t>
  </si>
  <si>
    <t xml:space="preserve">Commandes des cérémonies au téléphone</t>
  </si>
  <si>
    <t xml:space="preserve">Arrêté des comptes du soir</t>
  </si>
  <si>
    <t xml:space="preserve">Contrat incomplet à corriger (partie C) : « Mme Fatou S. est engagée comme serveuse au restaurant d'Aminata, pour un bon salaire. Elle commence lundi. » Quelles mentions manquent ? Réponse : identité complète des parties, date précise, catégorie, durée du contrat, période d'essai, montant du salaire (au moins le minimum applicable), horaires et repos, déclaration IPRES et CSS, signatures.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</si>
</sst>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dd/mm/yyyy"/>
    <numFmt numFmtId="167" formatCode="0"/>
    <numFmt numFmtId="168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342C"/>
      <name val="Arial"/>
      <family val="0"/>
      <charset val="1"/>
    </font>
    <font>
      <i val="true"/>
      <sz val="9"/>
      <color rgb="FF5665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8241F"/>
      <name val="Arial"/>
      <family val="0"/>
      <charset val="1"/>
    </font>
    <font>
      <sz val="10"/>
      <color rgb="FF18241F"/>
      <name val="Arial"/>
      <family val="0"/>
      <charset val="1"/>
    </font>
    <font>
      <i val="true"/>
      <sz val="10"/>
      <color rgb="FF56655F"/>
      <name val="Arial"/>
      <family val="0"/>
      <charset val="1"/>
    </font>
    <font>
      <sz val="10"/>
      <name val="Arial"/>
      <family val="0"/>
      <charset val="1"/>
    </font>
    <font>
      <sz val="9"/>
      <color rgb="FF1824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42C"/>
        <bgColor rgb="FF18241F"/>
      </patternFill>
    </fill>
    <fill>
      <patternFill patternType="solid">
        <fgColor rgb="FFFFF6DC"/>
        <bgColor rgb="FFFBEBEB"/>
      </patternFill>
    </fill>
    <fill>
      <patternFill patternType="solid">
        <fgColor rgb="FFF6E7D2"/>
        <bgColor rgb="FFFBEBEB"/>
      </patternFill>
    </fill>
    <fill>
      <patternFill patternType="solid">
        <fgColor rgb="FFEAEEE8"/>
        <bgColor rgb="FFFBEB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BC"/>
      </left>
      <right style="thin">
        <color rgb="FFB7C2BC"/>
      </right>
      <top style="thin">
        <color rgb="FFB7C2BC"/>
      </top>
      <bottom style="thin">
        <color rgb="FFB7C2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</font>
      <fill>
        <patternFill>
          <bgColor rgb="FFFBEB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C2BC"/>
      <rgbColor rgb="FF808080"/>
      <rgbColor rgb="FF9999FF"/>
      <rgbColor rgb="FF993366"/>
      <rgbColor rgb="FFFFF6DC"/>
      <rgbColor rgb="FFEAEE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BEB"/>
      <rgbColor rgb="FFCCFFCC"/>
      <rgbColor rgb="FFF6E7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55F"/>
      <rgbColor rgb="FF969696"/>
      <rgbColor rgb="FF003366"/>
      <rgbColor rgb="FF339966"/>
      <rgbColor rgb="FF18241F"/>
      <rgbColor rgb="FF333300"/>
      <rgbColor rgb="FF993300"/>
      <rgbColor rgb="FF993366"/>
      <rgbColor rgb="FF333399"/>
      <rgbColor rgb="FF1734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30" hidden="false" customHeight="true" outlineLevel="0" collapsed="false">
      <c r="A5" s="3" t="s">
        <v>2</v>
      </c>
      <c r="B5" s="3" t="s">
        <v>3</v>
      </c>
    </row>
    <row r="6" customFormat="false" ht="30" hidden="false" customHeight="true" outlineLevel="0" collapsed="false">
      <c r="A6" s="4" t="s">
        <v>4</v>
      </c>
      <c r="B6" s="5" t="s">
        <v>5</v>
      </c>
    </row>
    <row r="7" customFormat="false" ht="30" hidden="false" customHeight="true" outlineLevel="0" collapsed="false">
      <c r="A7" s="4" t="s">
        <v>6</v>
      </c>
      <c r="B7" s="5" t="s">
        <v>7</v>
      </c>
    </row>
    <row r="8" customFormat="false" ht="30" hidden="false" customHeight="true" outlineLevel="0" collapsed="false">
      <c r="A8" s="4" t="s">
        <v>8</v>
      </c>
      <c r="B8" s="5" t="s">
        <v>9</v>
      </c>
    </row>
    <row r="9" customFormat="false" ht="30" hidden="false" customHeight="true" outlineLevel="0" collapsed="false">
      <c r="A9" s="4" t="s">
        <v>10</v>
      </c>
      <c r="B9" s="5" t="s">
        <v>11</v>
      </c>
    </row>
    <row r="10" customFormat="false" ht="30" hidden="false" customHeight="true" outlineLevel="0" collapsed="false">
      <c r="A10" s="4" t="s">
        <v>12</v>
      </c>
      <c r="B10" s="5" t="s">
        <v>13</v>
      </c>
    </row>
    <row r="12" customFormat="false" ht="30" hidden="false" customHeight="true" outlineLevel="0" collapsed="false">
      <c r="A12" s="6" t="s">
        <v>14</v>
      </c>
      <c r="B12" s="6"/>
    </row>
  </sheetData>
  <mergeCells count="1">
    <mergeCell ref="A12:B12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30"/>
    <col collapsed="false" customWidth="true" hidden="false" outlineLevel="0" max="8" min="8" style="0" width="12"/>
  </cols>
  <sheetData>
    <row r="1" customFormat="false" ht="18.5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15" hidden="false" customHeight="true" outlineLevel="0" collapsed="false">
      <c r="A4" s="6" t="s">
        <v>17</v>
      </c>
      <c r="B4" s="6"/>
      <c r="C4" s="6"/>
      <c r="D4" s="6"/>
      <c r="E4" s="6"/>
      <c r="F4" s="6"/>
      <c r="G4" s="6"/>
      <c r="H4" s="6"/>
    </row>
    <row r="6" customFormat="false" ht="30" hidden="false" customHeight="true" outlineLevel="0" collapsed="false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customFormat="false" ht="39.75" hidden="false" customHeight="true" outlineLevel="0" collapsed="false">
      <c r="A7" s="7"/>
      <c r="B7" s="8"/>
      <c r="C7" s="9"/>
      <c r="D7" s="7"/>
      <c r="E7" s="7"/>
      <c r="F7" s="7"/>
      <c r="G7" s="7"/>
      <c r="H7" s="10"/>
    </row>
    <row r="8" customFormat="false" ht="39.75" hidden="false" customHeight="true" outlineLevel="0" collapsed="false">
      <c r="A8" s="7"/>
      <c r="B8" s="8"/>
      <c r="C8" s="9"/>
      <c r="D8" s="7"/>
      <c r="E8" s="7"/>
      <c r="F8" s="7"/>
      <c r="G8" s="7"/>
      <c r="H8" s="10"/>
    </row>
    <row r="9" customFormat="false" ht="39.75" hidden="false" customHeight="true" outlineLevel="0" collapsed="false">
      <c r="A9" s="7"/>
      <c r="B9" s="8"/>
      <c r="C9" s="9"/>
      <c r="D9" s="7"/>
      <c r="E9" s="7"/>
      <c r="F9" s="7"/>
      <c r="G9" s="7"/>
      <c r="H9" s="10"/>
    </row>
    <row r="10" customFormat="false" ht="39.75" hidden="false" customHeight="true" outlineLevel="0" collapsed="false">
      <c r="A10" s="7"/>
      <c r="B10" s="8"/>
      <c r="C10" s="9"/>
      <c r="D10" s="7"/>
      <c r="E10" s="7"/>
      <c r="F10" s="7"/>
      <c r="G10" s="7"/>
      <c r="H10" s="10"/>
    </row>
    <row r="11" customFormat="false" ht="39.75" hidden="false" customHeight="true" outlineLevel="0" collapsed="false">
      <c r="A11" s="7"/>
      <c r="B11" s="8"/>
      <c r="C11" s="9"/>
      <c r="D11" s="7"/>
      <c r="E11" s="7"/>
      <c r="F11" s="7"/>
      <c r="G11" s="7"/>
      <c r="H11" s="10"/>
    </row>
    <row r="12" customFormat="false" ht="39.75" hidden="false" customHeight="true" outlineLevel="0" collapsed="false">
      <c r="A12" s="7"/>
      <c r="B12" s="8"/>
      <c r="C12" s="9"/>
      <c r="D12" s="7"/>
      <c r="E12" s="7"/>
      <c r="F12" s="7"/>
      <c r="G12" s="7"/>
      <c r="H12" s="10"/>
    </row>
    <row r="13" customFormat="false" ht="39.75" hidden="false" customHeight="true" outlineLevel="0" collapsed="false">
      <c r="A13" s="7"/>
      <c r="B13" s="8"/>
      <c r="C13" s="9"/>
      <c r="D13" s="7"/>
      <c r="E13" s="7"/>
      <c r="F13" s="7"/>
      <c r="G13" s="7"/>
      <c r="H13" s="10"/>
    </row>
    <row r="14" customFormat="false" ht="39.75" hidden="false" customHeight="true" outlineLevel="0" collapsed="false">
      <c r="A14" s="7"/>
      <c r="B14" s="8"/>
      <c r="C14" s="9"/>
      <c r="D14" s="7"/>
      <c r="E14" s="7"/>
      <c r="F14" s="7"/>
      <c r="G14" s="7"/>
      <c r="H14" s="10"/>
    </row>
    <row r="15" customFormat="false" ht="39.75" hidden="false" customHeight="true" outlineLevel="0" collapsed="false">
      <c r="A15" s="7"/>
      <c r="B15" s="8"/>
      <c r="C15" s="9"/>
      <c r="D15" s="7"/>
      <c r="E15" s="7"/>
      <c r="F15" s="7"/>
      <c r="G15" s="7"/>
      <c r="H15" s="10"/>
    </row>
    <row r="16" customFormat="false" ht="39.75" hidden="false" customHeight="true" outlineLevel="0" collapsed="false">
      <c r="A16" s="7"/>
      <c r="B16" s="8"/>
      <c r="C16" s="9"/>
      <c r="D16" s="7"/>
      <c r="E16" s="7"/>
      <c r="F16" s="7"/>
      <c r="G16" s="7"/>
      <c r="H16" s="10"/>
    </row>
    <row r="17" customFormat="false" ht="15" hidden="false" customHeight="false" outlineLevel="0" collapsed="false">
      <c r="A17" s="11" t="s">
        <v>26</v>
      </c>
      <c r="B17" s="12" t="n">
        <f aca="false">SUM(B7:B16)</f>
        <v>0</v>
      </c>
    </row>
    <row r="18" customFormat="false" ht="15" hidden="false" customHeight="false" outlineLevel="0" collapsed="false">
      <c r="A18" s="4" t="s">
        <v>27</v>
      </c>
      <c r="B18" s="12" t="n">
        <f aca="false">SUMIF(C7:C16,"Je confie",B7:B16)</f>
        <v>0</v>
      </c>
    </row>
    <row r="19" customFormat="false" ht="15" hidden="false" customHeight="false" outlineLevel="0" collapsed="false">
      <c r="A19" s="4" t="s">
        <v>28</v>
      </c>
      <c r="B19" s="13" t="n">
        <f aca="false">COUNTIF(C7:C16,"Je confie")</f>
        <v>0</v>
      </c>
    </row>
    <row r="20" customFormat="false" ht="15" hidden="false" customHeight="false" outlineLevel="0" collapsed="false">
      <c r="A20" s="4" t="s">
        <v>29</v>
      </c>
      <c r="B20" s="13" t="n">
        <f aca="false">COUNTIFS(C7:C16,"Je confie",E7:E16,"")</f>
        <v>0</v>
      </c>
    </row>
    <row r="23" customFormat="false" ht="30" hidden="false" customHeight="true" outlineLevel="0" collapsed="false">
      <c r="A23" s="6" t="s">
        <v>30</v>
      </c>
      <c r="B23" s="6"/>
      <c r="C23" s="6"/>
      <c r="D23" s="6"/>
      <c r="E23" s="6"/>
      <c r="F23" s="6"/>
      <c r="G23" s="6"/>
      <c r="H23" s="6"/>
    </row>
  </sheetData>
  <mergeCells count="2">
    <mergeCell ref="A4:H4"/>
    <mergeCell ref="A23:H23"/>
  </mergeCells>
  <dataValidations count="1">
    <dataValidation allowBlank="true" errorStyle="stop" operator="between" showDropDown="false" showErrorMessage="false" showInputMessage="false" sqref="C7:C16" type="list">
      <formula1>"Je garde,Je confie"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8.5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true" outlineLevel="0" collapsed="false">
      <c r="A4" s="6" t="s">
        <v>17</v>
      </c>
      <c r="B4" s="6"/>
    </row>
    <row r="6" customFormat="false" ht="24" hidden="false" customHeight="true" outlineLevel="0" collapsed="false">
      <c r="A6" s="14" t="s">
        <v>33</v>
      </c>
      <c r="B6" s="7"/>
    </row>
    <row r="7" customFormat="false" ht="24" hidden="false" customHeight="true" outlineLevel="0" collapsed="false">
      <c r="A7" s="14" t="s">
        <v>34</v>
      </c>
      <c r="B7" s="7"/>
    </row>
    <row r="8" customFormat="false" ht="24" hidden="false" customHeight="true" outlineLevel="0" collapsed="false">
      <c r="A8" s="14" t="s">
        <v>35</v>
      </c>
      <c r="B8" s="7"/>
    </row>
    <row r="9" customFormat="false" ht="60" hidden="false" customHeight="true" outlineLevel="0" collapsed="false">
      <c r="A9" s="14" t="s">
        <v>36</v>
      </c>
      <c r="B9" s="7"/>
    </row>
    <row r="10" customFormat="false" ht="114" hidden="false" customHeight="true" outlineLevel="0" collapsed="false">
      <c r="A10" s="14" t="s">
        <v>37</v>
      </c>
      <c r="B10" s="7"/>
    </row>
    <row r="11" customFormat="false" ht="24" hidden="false" customHeight="true" outlineLevel="0" collapsed="false">
      <c r="A11" s="14" t="s">
        <v>38</v>
      </c>
      <c r="B11" s="7"/>
    </row>
    <row r="12" customFormat="false" ht="24" hidden="false" customHeight="true" outlineLevel="0" collapsed="false">
      <c r="A12" s="14" t="s">
        <v>39</v>
      </c>
      <c r="B12" s="7"/>
    </row>
    <row r="13" customFormat="false" ht="42" hidden="false" customHeight="true" outlineLevel="0" collapsed="false">
      <c r="A13" s="14" t="s">
        <v>40</v>
      </c>
      <c r="B13" s="7"/>
    </row>
    <row r="14" customFormat="false" ht="78" hidden="false" customHeight="true" outlineLevel="0" collapsed="false">
      <c r="A14" s="14" t="s">
        <v>41</v>
      </c>
      <c r="B14" s="7"/>
    </row>
    <row r="15" customFormat="false" ht="42" hidden="false" customHeight="true" outlineLevel="0" collapsed="false">
      <c r="A15" s="14" t="s">
        <v>42</v>
      </c>
      <c r="B15" s="7"/>
    </row>
  </sheetData>
  <mergeCells count="1">
    <mergeCell ref="A4:B4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0"/>
  </cols>
  <sheetData>
    <row r="1" customFormat="false" ht="18.5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8.75" hidden="false" customHeight="true" outlineLevel="0" collapsed="false">
      <c r="A4" s="15" t="s">
        <v>45</v>
      </c>
    </row>
    <row r="5" customFormat="false" ht="33.75" hidden="false" customHeight="true" outlineLevel="0" collapsed="false">
      <c r="A5" s="16" t="s">
        <v>46</v>
      </c>
    </row>
    <row r="6" customFormat="false" ht="18.75" hidden="false" customHeight="true" outlineLevel="0" collapsed="false">
      <c r="A6" s="15" t="s">
        <v>47</v>
      </c>
    </row>
    <row r="7" customFormat="false" ht="33.75" hidden="false" customHeight="true" outlineLevel="0" collapsed="false">
      <c r="A7" s="16" t="s">
        <v>48</v>
      </c>
    </row>
    <row r="8" customFormat="false" ht="18.75" hidden="false" customHeight="true" outlineLevel="0" collapsed="false">
      <c r="A8" s="15" t="s">
        <v>49</v>
      </c>
    </row>
    <row r="9" customFormat="false" ht="33.75" hidden="false" customHeight="true" outlineLevel="0" collapsed="false">
      <c r="A9" s="15" t="s">
        <v>50</v>
      </c>
    </row>
    <row r="10" customFormat="false" ht="33.75" hidden="false" customHeight="true" outlineLevel="0" collapsed="false">
      <c r="A10" s="15" t="s">
        <v>51</v>
      </c>
    </row>
    <row r="11" customFormat="false" ht="33.75" hidden="false" customHeight="true" outlineLevel="0" collapsed="false">
      <c r="A11" s="15" t="s">
        <v>52</v>
      </c>
    </row>
    <row r="12" customFormat="false" ht="33.75" hidden="false" customHeight="true" outlineLevel="0" collapsed="false">
      <c r="A12" s="15" t="s">
        <v>53</v>
      </c>
    </row>
    <row r="13" customFormat="false" ht="48.75" hidden="false" customHeight="true" outlineLevel="0" collapsed="false">
      <c r="A13" s="15" t="s">
        <v>54</v>
      </c>
    </row>
    <row r="14" customFormat="false" ht="33.75" hidden="false" customHeight="true" outlineLevel="0" collapsed="false">
      <c r="A14" s="15" t="s">
        <v>55</v>
      </c>
    </row>
    <row r="15" customFormat="false" ht="33.75" hidden="false" customHeight="true" outlineLevel="0" collapsed="false">
      <c r="A15" s="15" t="s">
        <v>56</v>
      </c>
    </row>
    <row r="16" customFormat="false" ht="18.75" hidden="false" customHeight="true" outlineLevel="0" collapsed="false">
      <c r="A16" s="15" t="s">
        <v>57</v>
      </c>
    </row>
    <row r="17" customFormat="false" ht="33.75" hidden="false" customHeight="true" outlineLevel="0" collapsed="false">
      <c r="A17" s="15" t="s">
        <v>58</v>
      </c>
    </row>
    <row r="18" customFormat="false" ht="18.75" hidden="false" customHeight="true" outlineLevel="0" collapsed="false">
      <c r="A18" s="16" t="s">
        <v>59</v>
      </c>
    </row>
    <row r="19" customFormat="false" ht="33.75" hidden="false" customHeight="true" outlineLevel="0" collapsed="false">
      <c r="A19" s="16" t="s">
        <v>60</v>
      </c>
    </row>
    <row r="20" customFormat="false" ht="18.75" hidden="false" customHeight="true" outlineLevel="0" collapsed="false">
      <c r="A20" s="16"/>
    </row>
    <row r="21" customFormat="false" ht="48.75" hidden="false" customHeight="true" outlineLevel="0" collapsed="false">
      <c r="A21" s="17" t="s">
        <v>61</v>
      </c>
    </row>
    <row r="24" customFormat="false" ht="30" hidden="false" customHeight="true" outlineLevel="0" collapsed="false">
      <c r="A24" s="3" t="s">
        <v>62</v>
      </c>
    </row>
    <row r="25" customFormat="false" ht="15" hidden="false" customHeight="false" outlineLevel="0" collapsed="false">
      <c r="A25" s="18" t="s">
        <v>63</v>
      </c>
      <c r="B25" s="9"/>
    </row>
    <row r="26" customFormat="false" ht="15" hidden="false" customHeight="false" outlineLevel="0" collapsed="false">
      <c r="A26" s="18" t="s">
        <v>64</v>
      </c>
      <c r="B26" s="9"/>
    </row>
    <row r="27" customFormat="false" ht="15" hidden="false" customHeight="false" outlineLevel="0" collapsed="false">
      <c r="A27" s="18" t="s">
        <v>65</v>
      </c>
      <c r="B27" s="9"/>
    </row>
    <row r="28" customFormat="false" ht="15" hidden="false" customHeight="false" outlineLevel="0" collapsed="false">
      <c r="A28" s="18" t="s">
        <v>66</v>
      </c>
      <c r="B28" s="9"/>
    </row>
    <row r="29" customFormat="false" ht="15" hidden="false" customHeight="false" outlineLevel="0" collapsed="false">
      <c r="A29" s="18" t="s">
        <v>67</v>
      </c>
      <c r="B29" s="9"/>
    </row>
    <row r="30" customFormat="false" ht="15" hidden="false" customHeight="false" outlineLevel="0" collapsed="false">
      <c r="A30" s="18" t="s">
        <v>68</v>
      </c>
      <c r="B30" s="9"/>
    </row>
    <row r="31" customFormat="false" ht="15" hidden="false" customHeight="false" outlineLevel="0" collapsed="false">
      <c r="A31" s="18" t="s">
        <v>69</v>
      </c>
      <c r="B31" s="9"/>
    </row>
    <row r="32" customFormat="false" ht="15" hidden="false" customHeight="false" outlineLevel="0" collapsed="false">
      <c r="A32" s="18" t="s">
        <v>70</v>
      </c>
      <c r="B32" s="9"/>
    </row>
    <row r="33" customFormat="false" ht="15" hidden="false" customHeight="false" outlineLevel="0" collapsed="false">
      <c r="A33" s="18" t="s">
        <v>71</v>
      </c>
      <c r="B33" s="9"/>
    </row>
    <row r="34" customFormat="false" ht="15" hidden="false" customHeight="false" outlineLevel="0" collapsed="false">
      <c r="A34" s="11" t="s">
        <v>72</v>
      </c>
      <c r="B34" s="19" t="str">
        <f aca="false">COUNTIF(B25:B33,"Oui")&amp;" / 9"</f>
        <v>0 / 9</v>
      </c>
    </row>
  </sheetData>
  <dataValidations count="1">
    <dataValidation allowBlank="true" errorStyle="stop" operator="between" showDropDown="false" showErrorMessage="false" showInputMessage="false" sqref="B25:B33" type="list">
      <formula1>"Oui,Non"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9"/>
    <col collapsed="false" customWidth="true" hidden="false" outlineLevel="0" max="9" min="9" style="0" width="14"/>
  </cols>
  <sheetData>
    <row r="1" customFormat="false" ht="18.5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20" t="s">
        <v>75</v>
      </c>
      <c r="B4" s="10"/>
      <c r="C4" s="10"/>
    </row>
    <row r="5" customFormat="false" ht="15" hidden="false" customHeight="true" outlineLevel="0" collapsed="false">
      <c r="A5" s="6" t="s">
        <v>17</v>
      </c>
      <c r="B5" s="6"/>
      <c r="C5" s="6"/>
      <c r="D5" s="6"/>
      <c r="E5" s="6"/>
      <c r="F5" s="6"/>
      <c r="G5" s="6"/>
      <c r="H5" s="6"/>
      <c r="I5" s="6"/>
    </row>
    <row r="7" customFormat="false" ht="30" hidden="false" customHeight="true" outlineLevel="0" collapsed="false">
      <c r="A7" s="3" t="s">
        <v>76</v>
      </c>
      <c r="B7" s="3" t="s">
        <v>77</v>
      </c>
      <c r="C7" s="3" t="s">
        <v>78</v>
      </c>
      <c r="D7" s="3" t="s">
        <v>79</v>
      </c>
      <c r="E7" s="3" t="s">
        <v>80</v>
      </c>
      <c r="F7" s="3" t="s">
        <v>81</v>
      </c>
      <c r="G7" s="3" t="s">
        <v>82</v>
      </c>
      <c r="H7" s="3" t="s">
        <v>83</v>
      </c>
      <c r="I7" s="3" t="s">
        <v>84</v>
      </c>
    </row>
    <row r="8" customFormat="false" ht="15" hidden="false" customHeight="false" outlineLevel="0" collapsed="false">
      <c r="A8" s="9"/>
      <c r="B8" s="21"/>
      <c r="C8" s="21"/>
      <c r="D8" s="21"/>
      <c r="E8" s="21"/>
      <c r="F8" s="21"/>
      <c r="G8" s="21"/>
      <c r="H8" s="21"/>
      <c r="I8" s="22" t="str">
        <f aca="false">IF(A8="","",COUNTIF(B8:H8,"M")+COUNTIF(B8:H8,"S")+COUNTIF(B8:H8,"J"))</f>
        <v/>
      </c>
    </row>
    <row r="9" customFormat="false" ht="15" hidden="false" customHeight="false" outlineLevel="0" collapsed="false">
      <c r="A9" s="9"/>
      <c r="B9" s="21"/>
      <c r="C9" s="21"/>
      <c r="D9" s="21"/>
      <c r="E9" s="21"/>
      <c r="F9" s="21"/>
      <c r="G9" s="21"/>
      <c r="H9" s="21"/>
      <c r="I9" s="22" t="str">
        <f aca="false">IF(A9="","",COUNTIF(B9:H9,"M")+COUNTIF(B9:H9,"S")+COUNTIF(B9:H9,"J"))</f>
        <v/>
      </c>
    </row>
    <row r="10" customFormat="false" ht="15" hidden="false" customHeight="false" outlineLevel="0" collapsed="false">
      <c r="A10" s="9"/>
      <c r="B10" s="21"/>
      <c r="C10" s="21"/>
      <c r="D10" s="21"/>
      <c r="E10" s="21"/>
      <c r="F10" s="21"/>
      <c r="G10" s="21"/>
      <c r="H10" s="21"/>
      <c r="I10" s="22" t="str">
        <f aca="false">IF(A10="","",COUNTIF(B10:H10,"M")+COUNTIF(B10:H10,"S")+COUNTIF(B10:H10,"J"))</f>
        <v/>
      </c>
    </row>
    <row r="11" customFormat="false" ht="15" hidden="false" customHeight="false" outlineLevel="0" collapsed="false">
      <c r="A11" s="9"/>
      <c r="B11" s="21"/>
      <c r="C11" s="21"/>
      <c r="D11" s="21"/>
      <c r="E11" s="21"/>
      <c r="F11" s="21"/>
      <c r="G11" s="21"/>
      <c r="H11" s="21"/>
      <c r="I11" s="22" t="str">
        <f aca="false">IF(A11="","",COUNTIF(B11:H11,"M")+COUNTIF(B11:H11,"S")+COUNTIF(B11:H11,"J"))</f>
        <v/>
      </c>
    </row>
    <row r="12" customFormat="false" ht="15" hidden="false" customHeight="false" outlineLevel="0" collapsed="false">
      <c r="A12" s="9"/>
      <c r="B12" s="21"/>
      <c r="C12" s="21"/>
      <c r="D12" s="21"/>
      <c r="E12" s="21"/>
      <c r="F12" s="21"/>
      <c r="G12" s="21"/>
      <c r="H12" s="21"/>
      <c r="I12" s="22" t="str">
        <f aca="false">IF(A12="","",COUNTIF(B12:H12,"M")+COUNTIF(B12:H12,"S")+COUNTIF(B12:H12,"J"))</f>
        <v/>
      </c>
    </row>
    <row r="13" customFormat="false" ht="15" hidden="false" customHeight="false" outlineLevel="0" collapsed="false">
      <c r="A13" s="9"/>
      <c r="B13" s="21"/>
      <c r="C13" s="21"/>
      <c r="D13" s="21"/>
      <c r="E13" s="21"/>
      <c r="F13" s="21"/>
      <c r="G13" s="21"/>
      <c r="H13" s="21"/>
      <c r="I13" s="22" t="str">
        <f aca="false">IF(A13="","",COUNTIF(B13:H13,"M")+COUNTIF(B13:H13,"S")+COUNTIF(B13:H13,"J"))</f>
        <v/>
      </c>
    </row>
    <row r="14" customFormat="false" ht="15" hidden="false" customHeight="false" outlineLevel="0" collapsed="false">
      <c r="A14" s="9"/>
      <c r="B14" s="21"/>
      <c r="C14" s="21"/>
      <c r="D14" s="21"/>
      <c r="E14" s="21"/>
      <c r="F14" s="21"/>
      <c r="G14" s="21"/>
      <c r="H14" s="21"/>
      <c r="I14" s="22" t="str">
        <f aca="false">IF(A14="","",COUNTIF(B14:H14,"M")+COUNTIF(B14:H14,"S")+COUNTIF(B14:H14,"J"))</f>
        <v/>
      </c>
    </row>
    <row r="15" customFormat="false" ht="15" hidden="false" customHeight="false" outlineLevel="0" collapsed="false">
      <c r="A15" s="9"/>
      <c r="B15" s="21"/>
      <c r="C15" s="21"/>
      <c r="D15" s="21"/>
      <c r="E15" s="21"/>
      <c r="F15" s="21"/>
      <c r="G15" s="21"/>
      <c r="H15" s="21"/>
      <c r="I15" s="22" t="str">
        <f aca="false">IF(A15="","",COUNTIF(B15:H15,"M")+COUNTIF(B15:H15,"S")+COUNTIF(B15:H15,"J"))</f>
        <v/>
      </c>
    </row>
    <row r="16" customFormat="false" ht="15" hidden="false" customHeight="false" outlineLevel="0" collapsed="false">
      <c r="A16" s="9"/>
      <c r="B16" s="21"/>
      <c r="C16" s="21"/>
      <c r="D16" s="21"/>
      <c r="E16" s="21"/>
      <c r="F16" s="21"/>
      <c r="G16" s="21"/>
      <c r="H16" s="21"/>
      <c r="I16" s="22" t="str">
        <f aca="false">IF(A16="","",COUNTIF(B16:H16,"M")+COUNTIF(B16:H16,"S")+COUNTIF(B16:H16,"J"))</f>
        <v/>
      </c>
    </row>
    <row r="17" customFormat="false" ht="15" hidden="false" customHeight="false" outlineLevel="0" collapsed="false">
      <c r="A17" s="9"/>
      <c r="B17" s="21"/>
      <c r="C17" s="21"/>
      <c r="D17" s="21"/>
      <c r="E17" s="21"/>
      <c r="F17" s="21"/>
      <c r="G17" s="21"/>
      <c r="H17" s="21"/>
      <c r="I17" s="22" t="str">
        <f aca="false">IF(A17="","",COUNTIF(B17:H17,"M")+COUNTIF(B17:H17,"S")+COUNTIF(B17:H17,"J"))</f>
        <v/>
      </c>
    </row>
    <row r="18" customFormat="false" ht="15" hidden="false" customHeight="false" outlineLevel="0" collapsed="false">
      <c r="A18" s="11" t="s">
        <v>85</v>
      </c>
      <c r="B18" s="23" t="n">
        <f aca="false">COUNTIF(B8:B17,"M")+COUNTIF(B8:B17,"S")+COUNTIF(B8:B17,"J")</f>
        <v>0</v>
      </c>
      <c r="C18" s="23" t="n">
        <f aca="false">COUNTIF(C8:C17,"M")+COUNTIF(C8:C17,"S")+COUNTIF(C8:C17,"J")</f>
        <v>0</v>
      </c>
      <c r="D18" s="23" t="n">
        <f aca="false">COUNTIF(D8:D17,"M")+COUNTIF(D8:D17,"S")+COUNTIF(D8:D17,"J")</f>
        <v>0</v>
      </c>
      <c r="E18" s="23" t="n">
        <f aca="false">COUNTIF(E8:E17,"M")+COUNTIF(E8:E17,"S")+COUNTIF(E8:E17,"J")</f>
        <v>0</v>
      </c>
      <c r="F18" s="23" t="n">
        <f aca="false">COUNTIF(F8:F17,"M")+COUNTIF(F8:F17,"S")+COUNTIF(F8:F17,"J")</f>
        <v>0</v>
      </c>
      <c r="G18" s="23" t="n">
        <f aca="false">COUNTIF(G8:G17,"M")+COUNTIF(G8:G17,"S")+COUNTIF(G8:G17,"J")</f>
        <v>0</v>
      </c>
      <c r="H18" s="23" t="n">
        <f aca="false">COUNTIF(H8:H17,"M")+COUNTIF(H8:H17,"S")+COUNTIF(H8:H17,"J")</f>
        <v>0</v>
      </c>
    </row>
    <row r="19" customFormat="false" ht="15" hidden="false" customHeight="false" outlineLevel="0" collapsed="false">
      <c r="A19" s="4" t="s">
        <v>86</v>
      </c>
      <c r="B19" s="24" t="n">
        <v>2</v>
      </c>
    </row>
    <row r="20" customFormat="false" ht="15" hidden="false" customHeight="false" outlineLevel="0" collapsed="false">
      <c r="A20" s="4" t="s">
        <v>87</v>
      </c>
      <c r="B20" s="25" t="str">
        <f aca="false">IF(B18&lt;$B$19,"OUI","")</f>
        <v>OUI</v>
      </c>
      <c r="C20" s="25" t="str">
        <f aca="false">IF(C18&lt;$B$19,"OUI","")</f>
        <v>OUI</v>
      </c>
      <c r="D20" s="25" t="str">
        <f aca="false">IF(D18&lt;$B$19,"OUI","")</f>
        <v>OUI</v>
      </c>
      <c r="E20" s="25" t="str">
        <f aca="false">IF(E18&lt;$B$19,"OUI","")</f>
        <v>OUI</v>
      </c>
      <c r="F20" s="25" t="str">
        <f aca="false">IF(F18&lt;$B$19,"OUI","")</f>
        <v>OUI</v>
      </c>
      <c r="G20" s="25" t="str">
        <f aca="false">IF(G18&lt;$B$19,"OUI","")</f>
        <v>OUI</v>
      </c>
      <c r="H20" s="25" t="str">
        <f aca="false">IF(H18&lt;$B$19,"OUI","")</f>
        <v>OUI</v>
      </c>
    </row>
  </sheetData>
  <mergeCells count="2">
    <mergeCell ref="B4:C4"/>
    <mergeCell ref="A5:I5"/>
  </mergeCells>
  <conditionalFormatting sqref="B20:H20">
    <cfRule type="expression" priority="2" aboveAverage="0" equalAverage="0" bottom="0" percent="0" rank="0" text="" dxfId="0">
      <formula>B20="OUI"</formula>
    </cfRule>
  </conditionalFormatting>
  <dataValidations count="1">
    <dataValidation allowBlank="true" errorStyle="stop" operator="between" showDropDown="false" showErrorMessage="false" showInputMessage="false" sqref="B8:H17" type="list">
      <formula1>"M,S,J,R"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30"/>
    <col collapsed="false" customWidth="true" hidden="false" outlineLevel="0" max="8" min="8" style="0" width="12"/>
  </cols>
  <sheetData>
    <row r="1" customFormat="false" ht="18.5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27.75" hidden="false" customHeight="true" outlineLevel="0" collapsed="false">
      <c r="A4" s="26" t="s">
        <v>90</v>
      </c>
      <c r="B4" s="26"/>
      <c r="C4" s="26"/>
      <c r="D4" s="26"/>
      <c r="E4" s="26"/>
      <c r="F4" s="26"/>
      <c r="G4" s="26"/>
      <c r="H4" s="26"/>
    </row>
    <row r="6" customFormat="false" ht="30" hidden="false" customHeight="true" outlineLevel="0" collapsed="false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customFormat="false" ht="39.75" hidden="false" customHeight="true" outlineLevel="0" collapsed="false">
      <c r="A7" s="7" t="s">
        <v>91</v>
      </c>
      <c r="B7" s="8" t="n">
        <v>2</v>
      </c>
      <c r="C7" s="9" t="s">
        <v>92</v>
      </c>
      <c r="D7" s="7" t="s">
        <v>93</v>
      </c>
      <c r="E7" s="7" t="s">
        <v>94</v>
      </c>
      <c r="F7" s="7" t="s">
        <v>95</v>
      </c>
      <c r="G7" s="7" t="s">
        <v>96</v>
      </c>
      <c r="H7" s="10"/>
    </row>
    <row r="8" customFormat="false" ht="39.75" hidden="false" customHeight="true" outlineLevel="0" collapsed="false">
      <c r="A8" s="7" t="s">
        <v>97</v>
      </c>
      <c r="B8" s="8" t="n">
        <v>3</v>
      </c>
      <c r="C8" s="9" t="s">
        <v>92</v>
      </c>
      <c r="D8" s="7" t="s">
        <v>93</v>
      </c>
      <c r="E8" s="7" t="s">
        <v>98</v>
      </c>
      <c r="F8" s="7" t="s">
        <v>99</v>
      </c>
      <c r="G8" s="7" t="s">
        <v>100</v>
      </c>
      <c r="H8" s="10"/>
    </row>
    <row r="9" customFormat="false" ht="39.75" hidden="false" customHeight="true" outlineLevel="0" collapsed="false">
      <c r="A9" s="7" t="s">
        <v>101</v>
      </c>
      <c r="B9" s="8" t="n">
        <v>2</v>
      </c>
      <c r="C9" s="9" t="s">
        <v>92</v>
      </c>
      <c r="D9" s="7" t="s">
        <v>102</v>
      </c>
      <c r="E9" s="7" t="s">
        <v>103</v>
      </c>
      <c r="F9" s="7" t="s">
        <v>104</v>
      </c>
      <c r="G9" s="7" t="s">
        <v>105</v>
      </c>
      <c r="H9" s="10"/>
    </row>
    <row r="10" customFormat="false" ht="39.75" hidden="false" customHeight="true" outlineLevel="0" collapsed="false">
      <c r="A10" s="7" t="s">
        <v>106</v>
      </c>
      <c r="B10" s="8" t="n">
        <v>0.5</v>
      </c>
      <c r="C10" s="9" t="s">
        <v>92</v>
      </c>
      <c r="D10" s="7" t="s">
        <v>107</v>
      </c>
      <c r="E10" s="7" t="s">
        <v>94</v>
      </c>
      <c r="F10" s="7" t="s">
        <v>108</v>
      </c>
      <c r="G10" s="7" t="s">
        <v>109</v>
      </c>
      <c r="H10" s="10"/>
    </row>
    <row r="11" customFormat="false" ht="39.75" hidden="false" customHeight="true" outlineLevel="0" collapsed="false">
      <c r="A11" s="7" t="s">
        <v>110</v>
      </c>
      <c r="B11" s="8" t="n">
        <v>0.5</v>
      </c>
      <c r="C11" s="9" t="s">
        <v>92</v>
      </c>
      <c r="D11" s="7" t="s">
        <v>107</v>
      </c>
      <c r="E11" s="7" t="s">
        <v>98</v>
      </c>
      <c r="F11" s="7" t="s">
        <v>111</v>
      </c>
      <c r="G11" s="7" t="s">
        <v>112</v>
      </c>
      <c r="H11" s="10"/>
    </row>
    <row r="12" customFormat="false" ht="39.75" hidden="false" customHeight="true" outlineLevel="0" collapsed="false">
      <c r="A12" s="7" t="s">
        <v>113</v>
      </c>
      <c r="B12" s="8" t="n">
        <v>1</v>
      </c>
      <c r="C12" s="9" t="s">
        <v>114</v>
      </c>
      <c r="D12" s="7"/>
      <c r="E12" s="7"/>
      <c r="F12" s="7"/>
      <c r="G12" s="7"/>
      <c r="H12" s="10"/>
    </row>
    <row r="13" customFormat="false" ht="39.75" hidden="false" customHeight="true" outlineLevel="0" collapsed="false">
      <c r="A13" s="7" t="s">
        <v>115</v>
      </c>
      <c r="B13" s="8" t="n">
        <v>1</v>
      </c>
      <c r="C13" s="9" t="s">
        <v>114</v>
      </c>
      <c r="D13" s="7"/>
      <c r="E13" s="7"/>
      <c r="F13" s="7"/>
      <c r="G13" s="7"/>
      <c r="H13" s="10"/>
    </row>
    <row r="14" customFormat="false" ht="39.75" hidden="false" customHeight="true" outlineLevel="0" collapsed="false">
      <c r="A14" s="7" t="s">
        <v>116</v>
      </c>
      <c r="B14" s="8" t="n">
        <v>0.5</v>
      </c>
      <c r="C14" s="9" t="s">
        <v>114</v>
      </c>
      <c r="D14" s="7"/>
      <c r="E14" s="7"/>
      <c r="F14" s="7"/>
      <c r="G14" s="7"/>
      <c r="H14" s="10"/>
    </row>
    <row r="15" customFormat="false" ht="15" hidden="false" customHeight="false" outlineLevel="0" collapsed="false">
      <c r="A15" s="11" t="s">
        <v>26</v>
      </c>
      <c r="B15" s="12" t="n">
        <f aca="false">SUM(B7:B14)</f>
        <v>10.5</v>
      </c>
    </row>
    <row r="16" customFormat="false" ht="15" hidden="false" customHeight="false" outlineLevel="0" collapsed="false">
      <c r="A16" s="4" t="s">
        <v>27</v>
      </c>
      <c r="B16" s="12" t="n">
        <f aca="false">SUMIF(C7:C14,"Je confie",B7:B14)</f>
        <v>8</v>
      </c>
    </row>
    <row r="17" customFormat="false" ht="15" hidden="false" customHeight="false" outlineLevel="0" collapsed="false">
      <c r="A17" s="4" t="s">
        <v>28</v>
      </c>
      <c r="B17" s="13" t="n">
        <f aca="false">COUNTIF(C7:C14,"Je confie")</f>
        <v>5</v>
      </c>
    </row>
    <row r="18" customFormat="false" ht="15" hidden="false" customHeight="false" outlineLevel="0" collapsed="false">
      <c r="A18" s="4" t="s">
        <v>29</v>
      </c>
      <c r="B18" s="13" t="n">
        <f aca="false">COUNTIFS(C7:C14,"Je confie",E7:E14,"")</f>
        <v>0</v>
      </c>
    </row>
    <row r="21" customFormat="false" ht="57.75" hidden="false" customHeight="true" outlineLevel="0" collapsed="false">
      <c r="A21" s="27" t="s">
        <v>117</v>
      </c>
      <c r="B21" s="27"/>
      <c r="C21" s="27"/>
      <c r="D21" s="27"/>
      <c r="E21" s="27"/>
      <c r="F21" s="27"/>
      <c r="G21" s="27"/>
      <c r="H21" s="27"/>
    </row>
  </sheetData>
  <mergeCells count="2">
    <mergeCell ref="A4:H4"/>
    <mergeCell ref="A21:H21"/>
  </mergeCells>
  <dataValidations count="1">
    <dataValidation allowBlank="true" errorStyle="stop" operator="between" showDropDown="false" showErrorMessage="false" showInputMessage="false" sqref="C7:C14" type="list">
      <formula1>"Je garde,Je confie"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2026-10-30T12:40:49Z</dcterms:created>
  <dc:creator>openpyxl</dc:creator>
  <dc:description/>
  <dc:language>en-US</dc:language>
  <cp:lastModifiedBy/>
  <dcterms:modified xsi:type="dcterms:W3CDTF">2026-10-30T12:40:49Z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