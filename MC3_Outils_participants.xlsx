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Client_cible" sheetId="2" state="visible" r:id="rId4"/>
    <sheet name="Positionnement" sheetId="3" state="visible" r:id="rId5"/>
    <sheet name="Fichier_clients" sheetId="4" state="visible" r:id="rId6"/>
    <sheet name="Creances" sheetId="5" state="visible" r:id="rId7"/>
    <sheet name="Catalogue" sheetId="6" state="visible" r:id="rId8"/>
    <sheet name="Cas_Fatou" sheetId="7" state="visible" r:id="rId9"/>
  </sheets>
  <definedNames>
    <definedName function="false" hidden="false" localSheetId="4" name="_xlnm.Print_Titles" vbProcedure="false">Creances!$7:$7</definedName>
    <definedName function="false" hidden="false" localSheetId="3" name="_xlnm.Print_Titles" vbProcedure="false">Fichier_clients!$7:$7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<sst xmlns="http://schemas.openxmlformats.org/spreadsheetml/2006/main" count="126" uniqueCount="105">
  <si>
    <t xml:space="preserve">MC3 · Vendre plus et se faire payer</t>
  </si>
  <si>
    <t xml:space="preserve">Outils participants · TAXAWU PME Module 3 · CADE / CCIAK</t>
  </si>
  <si>
    <t xml:space="preserve">Onglet</t>
  </si>
  <si>
    <t xml:space="preserve">Usage</t>
  </si>
  <si>
    <t xml:space="preserve">Client_cible</t>
  </si>
  <si>
    <t xml:space="preserve">Comparer ce que rapporte chaque groupe de clients, puis décrire son client cible.</t>
  </si>
  <si>
    <t xml:space="preserve">Positionnement</t>
  </si>
  <si>
    <t xml:space="preserve">Écrire en une phrase pourquoi acheter chez vous ; la phrase se compose automatiquement.</t>
  </si>
  <si>
    <t xml:space="preserve">Fichier_clients</t>
  </si>
  <si>
    <t xml:space="preserve">Les clients réguliers : téléphone, achats, dernier achat. « À relancer » s'affiche quand un client n'est pas revenu depuis longtemps.</t>
  </si>
  <si>
    <t xml:space="preserve">Creances</t>
  </si>
  <si>
    <t xml:space="preserve">Chaque vente à crédit : échéance, retard, situation, et à qui refuser un nouveau crédit.</t>
  </si>
  <si>
    <t xml:space="preserve">Catalogue</t>
  </si>
  <si>
    <t xml:space="preserve">Préparer les fiches produits avant de les mettre sur WhatsApp Business.</t>
  </si>
  <si>
    <t xml:space="preserve">Cas_Fatou</t>
  </si>
  <si>
    <t xml:space="preserve">Le cas pratique de la séance, avec le corrigé calculé.</t>
  </si>
  <si>
    <t xml:space="preserve">Cellules jaunes à texte bleu : à remplir. Cellules blanches : calculées. Demandez toujours l'accord d'un client avant d'enregistrer son numéro, et ne partagez pas votre fichier clients.</t>
  </si>
  <si>
    <t xml:space="preserve">Fiche client cible</t>
  </si>
  <si>
    <t xml:space="preserve">Comparer les groupes de clients, puis décrire celui que l'on vise</t>
  </si>
  <si>
    <t xml:space="preserve">Cellules jaunes à texte bleu : à remplir. Cellules blanches : calculées automatiquement, ne pas modifier.</t>
  </si>
  <si>
    <t xml:space="preserve">Groupe de clients</t>
  </si>
  <si>
    <t xml:space="preserve">Quantité vendue par semaine</t>
  </si>
  <si>
    <t xml:space="preserve">Prix de vente unitaire (FCFA)</t>
  </si>
  <si>
    <t xml:space="preserve">Coût unitaire (prix de revient)</t>
  </si>
  <si>
    <t xml:space="preserve">Marge par unité</t>
  </si>
  <si>
    <t xml:space="preserve">Frais pour les servir par semaine</t>
  </si>
  <si>
    <t xml:space="preserve">Rapporte par semaine</t>
  </si>
  <si>
    <t xml:space="preserve">Délai de paiement</t>
  </si>
  <si>
    <t xml:space="preserve">Groupe qui rapporte le plus par semaine</t>
  </si>
  <si>
    <t xml:space="preserve">Mon client cible</t>
  </si>
  <si>
    <t xml:space="preserve">Description</t>
  </si>
  <si>
    <t xml:space="preserve">Qui est-il ? (particulier, boutique, restaurant, entreprise, administration…)</t>
  </si>
  <si>
    <t xml:space="preserve">Où et quand achète-t-il ?</t>
  </si>
  <si>
    <t xml:space="preserve">Qu'est-ce qui compte le plus pour lui ? (prix, qualité, régularité, livraison, conseil…)</t>
  </si>
  <si>
    <t xml:space="preserve">Combien achète-t-il, à quelle fréquence ?</t>
  </si>
  <si>
    <t xml:space="preserve">Comment paie-t-il ? (comptant, mobile money, à crédit, acompte)</t>
  </si>
  <si>
    <t xml:space="preserve">Comment le joindre et le convaincre ? (visite, WhatsApp, recommandation, marché)</t>
  </si>
  <si>
    <t xml:space="preserve">Formule de positionnement</t>
  </si>
  <si>
    <t xml:space="preserve">Pourquoi acheter chez vous plutôt qu'ailleurs, en une phrase</t>
  </si>
  <si>
    <t xml:space="preserve">Pour (mon client cible)</t>
  </si>
  <si>
    <t xml:space="preserve">qui (son besoin ou son problème)</t>
  </si>
  <si>
    <t xml:space="preserve">mon produit ou service</t>
  </si>
  <si>
    <t xml:space="preserve">est (ce que c'est)</t>
  </si>
  <si>
    <t xml:space="preserve">qui (le bénéfice principal pour le client)</t>
  </si>
  <si>
    <t xml:space="preserve">contrairement à (ce qu'il achète d'habitude)</t>
  </si>
  <si>
    <t xml:space="preserve">Ma phrase</t>
  </si>
  <si>
    <t xml:space="preserve">Test : lisez la phrase à quelqu'un qui ne vous connaît pas. S'il ne voit pas la différence avec votre concurrent, recommencez. Utilisez la même phrase sur l'enseigne, le catalogue et quand vous parlez au client.</t>
  </si>
  <si>
    <t xml:space="preserve">Fichier clients</t>
  </si>
  <si>
    <t xml:space="preserve">Les clients réguliers · avec leur accord</t>
  </si>
  <si>
    <t xml:space="preserve">Date du jour</t>
  </si>
  <si>
    <t xml:space="preserve">Relancer après (jours)</t>
  </si>
  <si>
    <t xml:space="preserve">Nom du client</t>
  </si>
  <si>
    <t xml:space="preserve">Téléphone</t>
  </si>
  <si>
    <t xml:space="preserve">Quartier ou commune</t>
  </si>
  <si>
    <t xml:space="preserve">Ce qu'il achète</t>
  </si>
  <si>
    <t xml:space="preserve">Fréquence</t>
  </si>
  <si>
    <t xml:space="preserve">Dernier achat</t>
  </si>
  <si>
    <t xml:space="preserve">Jours depuis</t>
  </si>
  <si>
    <t xml:space="preserve">À relancer ?</t>
  </si>
  <si>
    <t xml:space="preserve">Clients enregistrés</t>
  </si>
  <si>
    <t xml:space="preserve">Clients à relancer</t>
  </si>
  <si>
    <t xml:space="preserve">Cahier des créances</t>
  </si>
  <si>
    <t xml:space="preserve">Chaque vente à crédit · point chaque semaine</t>
  </si>
  <si>
    <t xml:space="preserve">Délai accordé (jours)</t>
  </si>
  <si>
    <t xml:space="preserve">Client</t>
  </si>
  <si>
    <t xml:space="preserve">Montant dû (FCFA)</t>
  </si>
  <si>
    <t xml:space="preserve">Livré le</t>
  </si>
  <si>
    <t xml:space="preserve">Délai (jours)</t>
  </si>
  <si>
    <t xml:space="preserve">Échéance</t>
  </si>
  <si>
    <t xml:space="preserve">Déjà payé (FCFA)</t>
  </si>
  <si>
    <t xml:space="preserve">Reste dû (FCFA)</t>
  </si>
  <si>
    <t xml:space="preserve">Retard (jours)</t>
  </si>
  <si>
    <t xml:space="preserve">Situation</t>
  </si>
  <si>
    <t xml:space="preserve">Total restant dû</t>
  </si>
  <si>
    <t xml:space="preserve">Dont en retard</t>
  </si>
  <si>
    <t xml:space="preserve">Dont en retard de plus de 21 jours</t>
  </si>
  <si>
    <t xml:space="preserve">Les quatre gestes : plafonner le crédit par client, écrire chaque vente à crédit (et la confirmer par message), relancer à l'échéance puis une semaine après, suspendre tout nouveau crédit tant que l'ancien n'est pas réglé. Les seuils de 7 et 21 jours sont des repères à adapter.</t>
  </si>
  <si>
    <t xml:space="preserve">Fiches produits pour le catalogue WhatsApp Business</t>
  </si>
  <si>
    <t xml:space="preserve">Préparer avant de mettre en ligne · une ligne par produit</t>
  </si>
  <si>
    <t xml:space="preserve">Nom du produit</t>
  </si>
  <si>
    <t xml:space="preserve">Photo à prendre (fond, lumière, mise en scène)</t>
  </si>
  <si>
    <t xml:space="preserve">Description (deux lignes : ce que c'est, ce qui le rend meilleur)</t>
  </si>
  <si>
    <t xml:space="preserve">Prix (FCFA)</t>
  </si>
  <si>
    <t xml:space="preserve">Conditions (quantité minimale, délai, acompte, livraison)</t>
  </si>
  <si>
    <t xml:space="preserve">Conseils : une photo nette, à la lumière du jour, sur un fond uni ; un nom clair ; toujours un prix ; les mêmes conditions pour tous. Complétez aussi le profil de l'entreprise (nom, activité, adresse, horaires).</t>
  </si>
  <si>
    <t xml:space="preserve">Cas pratique · Fatou, productrice de jus locaux à Kaolack</t>
  </si>
  <si>
    <t xml:space="preserve">Énoncé et corrigé calculé · montants illustratifs en FCFA</t>
  </si>
  <si>
    <t xml:space="preserve">Fatou produit des jus locaux en bouteilles de 50 cl. Une bouteille lui coûte 300 FCFA. Elle vend au marché, à des boutiques de quartier et à des traiteurs. Elle vend beaucoup, mais court toujours après son argent.</t>
  </si>
  <si>
    <t xml:space="preserve">Partie A · Quels clients privilégier ?</t>
  </si>
  <si>
    <t xml:space="preserve">Particuliers au marché</t>
  </si>
  <si>
    <t xml:space="preserve">Comptant</t>
  </si>
  <si>
    <t xml:space="preserve">Boutiques de quartier (5)</t>
  </si>
  <si>
    <t xml:space="preserve">À 15 jours</t>
  </si>
  <si>
    <t xml:space="preserve">Traiteurs pour cérémonies</t>
  </si>
  <si>
    <t xml:space="preserve">Acompte 50 %, irrégulier</t>
  </si>
  <si>
    <t xml:space="preserve">Partie B · Créances au 30 novembre 2026 (délai accordé : 15 jours)</t>
  </si>
  <si>
    <t xml:space="preserve">Montant dû</t>
  </si>
  <si>
    <t xml:space="preserve">Boutique Fall</t>
  </si>
  <si>
    <t xml:space="preserve">Boutique Mame</t>
  </si>
  <si>
    <t xml:space="preserve">Boutique Ndiaye</t>
  </si>
  <si>
    <t xml:space="preserve">Alimentation Touba</t>
  </si>
  <si>
    <t xml:space="preserve">Traiteur Awa</t>
  </si>
  <si>
    <t xml:space="preserve">Supérette Kasnack</t>
  </si>
  <si>
    <t xml:space="preserve">Total dû</t>
  </si>
  <si>
    <t xml:space="preserve">Ventes mensuelles aux boutiques (120 × 400 × 52 ÷ 12)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</si>
</sst>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;\-#,##0;\-"/>
    <numFmt numFmtId="167" formatCode="@"/>
    <numFmt numFmtId="168" formatCode="dd/mm/yyyy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24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FFF6DC"/>
        <bgColor rgb="FFF9EEDA"/>
      </patternFill>
    </fill>
    <fill>
      <patternFill patternType="solid">
        <fgColor rgb="FFF6E7D2"/>
        <bgColor rgb="FFF9EEDA"/>
      </patternFill>
    </fill>
    <fill>
      <patternFill patternType="solid">
        <fgColor rgb="FFEAEEE8"/>
        <bgColor rgb="FFF9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9EED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CCFFCC"/>
      <rgbColor rgb="FFF9EEDA"/>
      <rgbColor rgb="FF99CCFF"/>
      <rgbColor rgb="FFFF99CC"/>
      <rgbColor rgb="FFCC99FF"/>
      <rgbColor rgb="FFF6E7D2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 t="s">
        <v>14</v>
      </c>
      <c r="B11" s="5" t="s">
        <v>15</v>
      </c>
    </row>
    <row r="13" customFormat="false" ht="30" hidden="false" customHeight="true" outlineLevel="0" collapsed="false">
      <c r="A13" s="6" t="s">
        <v>16</v>
      </c>
      <c r="B13" s="6"/>
    </row>
  </sheetData>
  <mergeCells count="1">
    <mergeCell ref="A13:B13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18.5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  <c r="G4" s="6"/>
      <c r="H4" s="6"/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  <row r="7" customFormat="false" ht="24" hidden="false" customHeight="true" outlineLevel="0" collapsed="false">
      <c r="A7" s="7"/>
      <c r="B7" s="8"/>
      <c r="C7" s="9"/>
      <c r="D7" s="9"/>
      <c r="E7" s="10" t="str">
        <f aca="false">IF(OR(C7="",D7=""),"",C7-D7)</f>
        <v/>
      </c>
      <c r="F7" s="9"/>
      <c r="G7" s="11" t="str">
        <f aca="false">IF(OR(B7="",E7=""),"",B7*E7-N(F7))</f>
        <v/>
      </c>
      <c r="H7" s="7"/>
    </row>
    <row r="8" customFormat="false" ht="24" hidden="false" customHeight="true" outlineLevel="0" collapsed="false">
      <c r="A8" s="7"/>
      <c r="B8" s="8"/>
      <c r="C8" s="9"/>
      <c r="D8" s="9"/>
      <c r="E8" s="10" t="str">
        <f aca="false">IF(OR(C8="",D8=""),"",C8-D8)</f>
        <v/>
      </c>
      <c r="F8" s="9"/>
      <c r="G8" s="11" t="str">
        <f aca="false">IF(OR(B8="",E8=""),"",B8*E8-N(F8))</f>
        <v/>
      </c>
      <c r="H8" s="7"/>
    </row>
    <row r="9" customFormat="false" ht="24" hidden="false" customHeight="true" outlineLevel="0" collapsed="false">
      <c r="A9" s="7"/>
      <c r="B9" s="8"/>
      <c r="C9" s="9"/>
      <c r="D9" s="9"/>
      <c r="E9" s="10" t="str">
        <f aca="false">IF(OR(C9="",D9=""),"",C9-D9)</f>
        <v/>
      </c>
      <c r="F9" s="9"/>
      <c r="G9" s="11" t="str">
        <f aca="false">IF(OR(B9="",E9=""),"",B9*E9-N(F9))</f>
        <v/>
      </c>
      <c r="H9" s="7"/>
    </row>
    <row r="10" customFormat="false" ht="24" hidden="false" customHeight="true" outlineLevel="0" collapsed="false">
      <c r="A10" s="7"/>
      <c r="B10" s="8"/>
      <c r="C10" s="9"/>
      <c r="D10" s="9"/>
      <c r="E10" s="10" t="str">
        <f aca="false">IF(OR(C10="",D10=""),"",C10-D10)</f>
        <v/>
      </c>
      <c r="F10" s="9"/>
      <c r="G10" s="11" t="str">
        <f aca="false">IF(OR(B10="",E10=""),"",B10*E10-N(F10))</f>
        <v/>
      </c>
      <c r="H10" s="7"/>
    </row>
    <row r="11" customFormat="false" ht="24" hidden="false" customHeight="true" outlineLevel="0" collapsed="false">
      <c r="A11" s="7"/>
      <c r="B11" s="8"/>
      <c r="C11" s="9"/>
      <c r="D11" s="9"/>
      <c r="E11" s="10" t="str">
        <f aca="false">IF(OR(C11="",D11=""),"",C11-D11)</f>
        <v/>
      </c>
      <c r="F11" s="9"/>
      <c r="G11" s="11" t="str">
        <f aca="false">IF(OR(B11="",E11=""),"",B11*E11-N(F11))</f>
        <v/>
      </c>
      <c r="H11" s="7"/>
    </row>
    <row r="13" customFormat="false" ht="15" hidden="false" customHeight="false" outlineLevel="0" collapsed="false">
      <c r="A13" s="4" t="s">
        <v>28</v>
      </c>
      <c r="B13" s="4"/>
      <c r="C13" s="4"/>
      <c r="D13" s="4"/>
      <c r="E13" s="12" t="str">
        <f aca="false">IF(COUNT(G7:G11)=0,"",INDEX(A7:A11,MATCH(MAX(G7:G11),G7:G11,0)))</f>
        <v/>
      </c>
      <c r="F13" s="12"/>
      <c r="G13" s="12"/>
      <c r="H13" s="12"/>
    </row>
    <row r="15" customFormat="false" ht="30" hidden="false" customHeight="true" outlineLevel="0" collapsed="false">
      <c r="A15" s="3" t="s">
        <v>29</v>
      </c>
      <c r="B15" s="3" t="s">
        <v>30</v>
      </c>
      <c r="C15" s="3"/>
      <c r="D15" s="3"/>
      <c r="E15" s="3"/>
      <c r="F15" s="3"/>
      <c r="G15" s="3"/>
      <c r="H15" s="3"/>
    </row>
    <row r="16" customFormat="false" ht="33.75" hidden="false" customHeight="true" outlineLevel="0" collapsed="false">
      <c r="A16" s="5" t="s">
        <v>31</v>
      </c>
      <c r="B16" s="7"/>
      <c r="C16" s="7"/>
      <c r="D16" s="7"/>
      <c r="E16" s="7"/>
      <c r="F16" s="7"/>
      <c r="G16" s="7"/>
      <c r="H16" s="7"/>
    </row>
    <row r="17" customFormat="false" ht="33.75" hidden="false" customHeight="true" outlineLevel="0" collapsed="false">
      <c r="A17" s="5" t="s">
        <v>32</v>
      </c>
      <c r="B17" s="7"/>
      <c r="C17" s="7"/>
      <c r="D17" s="7"/>
      <c r="E17" s="7"/>
      <c r="F17" s="7"/>
      <c r="G17" s="7"/>
      <c r="H17" s="7"/>
    </row>
    <row r="18" customFormat="false" ht="33.75" hidden="false" customHeight="true" outlineLevel="0" collapsed="false">
      <c r="A18" s="5" t="s">
        <v>33</v>
      </c>
      <c r="B18" s="7"/>
      <c r="C18" s="7"/>
      <c r="D18" s="7"/>
      <c r="E18" s="7"/>
      <c r="F18" s="7"/>
      <c r="G18" s="7"/>
      <c r="H18" s="7"/>
    </row>
    <row r="19" customFormat="false" ht="33.75" hidden="false" customHeight="true" outlineLevel="0" collapsed="false">
      <c r="A19" s="5" t="s">
        <v>34</v>
      </c>
      <c r="B19" s="7"/>
      <c r="C19" s="7"/>
      <c r="D19" s="7"/>
      <c r="E19" s="7"/>
      <c r="F19" s="7"/>
      <c r="G19" s="7"/>
      <c r="H19" s="7"/>
    </row>
    <row r="20" customFormat="false" ht="33.75" hidden="false" customHeight="true" outlineLevel="0" collapsed="false">
      <c r="A20" s="5" t="s">
        <v>35</v>
      </c>
      <c r="B20" s="7"/>
      <c r="C20" s="7"/>
      <c r="D20" s="7"/>
      <c r="E20" s="7"/>
      <c r="F20" s="7"/>
      <c r="G20" s="7"/>
      <c r="H20" s="7"/>
    </row>
    <row r="21" customFormat="false" ht="33.75" hidden="false" customHeight="true" outlineLevel="0" collapsed="false">
      <c r="A21" s="5" t="s">
        <v>36</v>
      </c>
      <c r="B21" s="7"/>
      <c r="C21" s="7"/>
      <c r="D21" s="7"/>
      <c r="E21" s="7"/>
      <c r="F21" s="7"/>
      <c r="G21" s="7"/>
      <c r="H21" s="7"/>
    </row>
  </sheetData>
  <mergeCells count="10">
    <mergeCell ref="A4:H4"/>
    <mergeCell ref="A13:D13"/>
    <mergeCell ref="E13:H13"/>
    <mergeCell ref="B15:H15"/>
    <mergeCell ref="B16:H16"/>
    <mergeCell ref="B17:H17"/>
    <mergeCell ref="B18:H18"/>
    <mergeCell ref="B19:H19"/>
    <mergeCell ref="B20:H20"/>
    <mergeCell ref="B21:H21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</cols>
  <sheetData>
    <row r="1" customFormat="false" ht="18.5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true" outlineLevel="0" collapsed="false">
      <c r="A4" s="6" t="s">
        <v>19</v>
      </c>
      <c r="B4" s="6"/>
    </row>
    <row r="6" customFormat="false" ht="25.5" hidden="false" customHeight="true" outlineLevel="0" collapsed="false">
      <c r="A6" s="4" t="s">
        <v>39</v>
      </c>
      <c r="B6" s="7"/>
    </row>
    <row r="7" customFormat="false" ht="25.5" hidden="false" customHeight="true" outlineLevel="0" collapsed="false">
      <c r="A7" s="4" t="s">
        <v>40</v>
      </c>
      <c r="B7" s="7"/>
    </row>
    <row r="8" customFormat="false" ht="25.5" hidden="false" customHeight="true" outlineLevel="0" collapsed="false">
      <c r="A8" s="4" t="s">
        <v>41</v>
      </c>
      <c r="B8" s="7"/>
    </row>
    <row r="9" customFormat="false" ht="25.5" hidden="false" customHeight="true" outlineLevel="0" collapsed="false">
      <c r="A9" s="4" t="s">
        <v>42</v>
      </c>
      <c r="B9" s="7"/>
    </row>
    <row r="10" customFormat="false" ht="25.5" hidden="false" customHeight="true" outlineLevel="0" collapsed="false">
      <c r="A10" s="4" t="s">
        <v>43</v>
      </c>
      <c r="B10" s="7"/>
    </row>
    <row r="11" customFormat="false" ht="25.5" hidden="false" customHeight="true" outlineLevel="0" collapsed="false">
      <c r="A11" s="4" t="s">
        <v>44</v>
      </c>
      <c r="B11" s="7"/>
    </row>
    <row r="13" customFormat="false" ht="79.5" hidden="false" customHeight="true" outlineLevel="0" collapsed="false">
      <c r="A13" s="13" t="s">
        <v>45</v>
      </c>
      <c r="B13" s="14" t="str">
        <f aca="false">IF(COUNTA(B6:B11)&lt;6,"(remplissez les six cases)","Pour "&amp;B6&amp;" qui "&amp;B7&amp;", "&amp;B8&amp;" est "&amp;B9&amp;" qui "&amp;B10&amp;", contrairement à "&amp;B11&amp;".")</f>
        <v>(remplissez les six cases)</v>
      </c>
    </row>
    <row r="15" customFormat="false" ht="30" hidden="false" customHeight="true" outlineLevel="0" collapsed="false">
      <c r="A15" s="6" t="s">
        <v>46</v>
      </c>
      <c r="B15" s="6"/>
    </row>
  </sheetData>
  <mergeCells count="2">
    <mergeCell ref="A4:B4"/>
    <mergeCell ref="A15:B15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8.5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27.75" hidden="false" customHeight="true" outlineLevel="0" collapsed="false">
      <c r="A4" s="15" t="s">
        <v>49</v>
      </c>
      <c r="B4" s="16"/>
      <c r="C4" s="17" t="s">
        <v>50</v>
      </c>
      <c r="D4" s="18" t="n">
        <v>30</v>
      </c>
    </row>
    <row r="5" customFormat="false" ht="15" hidden="false" customHeight="true" outlineLevel="0" collapsed="false">
      <c r="A5" s="6" t="s">
        <v>19</v>
      </c>
      <c r="B5" s="6"/>
      <c r="C5" s="6"/>
      <c r="D5" s="6"/>
      <c r="E5" s="6"/>
      <c r="F5" s="6"/>
      <c r="G5" s="6"/>
      <c r="H5" s="6"/>
    </row>
    <row r="7" customFormat="false" ht="30" hidden="false" customHeight="true" outlineLevel="0" collapsed="false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16"/>
      <c r="G8" s="19" t="str">
        <f aca="false">IF(OR(F8="",$B$4=""),"",$B$4-F8)</f>
        <v/>
      </c>
      <c r="H8" s="12" t="str">
        <f aca="false">IF(G8="","",IF(G8&gt;$D$4,"Oui",""))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16"/>
      <c r="G9" s="19" t="str">
        <f aca="false">IF(OR(F9="",$B$4=""),"",$B$4-F9)</f>
        <v/>
      </c>
      <c r="H9" s="12" t="str">
        <f aca="false">IF(G9="","",IF(G9&gt;$D$4,"Oui",""))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16"/>
      <c r="G10" s="19" t="str">
        <f aca="false">IF(OR(F10="",$B$4=""),"",$B$4-F10)</f>
        <v/>
      </c>
      <c r="H10" s="12" t="str">
        <f aca="false">IF(G10="","",IF(G10&gt;$D$4,"Oui",""))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16"/>
      <c r="G11" s="19" t="str">
        <f aca="false">IF(OR(F11="",$B$4=""),"",$B$4-F11)</f>
        <v/>
      </c>
      <c r="H11" s="12" t="str">
        <f aca="false">IF(G11="","",IF(G11&gt;$D$4,"Oui",""))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16"/>
      <c r="G12" s="19" t="str">
        <f aca="false">IF(OR(F12="",$B$4=""),"",$B$4-F12)</f>
        <v/>
      </c>
      <c r="H12" s="12" t="str">
        <f aca="false">IF(G12="","",IF(G12&gt;$D$4,"Oui",""))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16"/>
      <c r="G13" s="19" t="str">
        <f aca="false">IF(OR(F13="",$B$4=""),"",$B$4-F13)</f>
        <v/>
      </c>
      <c r="H13" s="12" t="str">
        <f aca="false">IF(G13="","",IF(G13&gt;$D$4,"Oui",""))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16"/>
      <c r="G14" s="19" t="str">
        <f aca="false">IF(OR(F14="",$B$4=""),"",$B$4-F14)</f>
        <v/>
      </c>
      <c r="H14" s="12" t="str">
        <f aca="false">IF(G14="","",IF(G14&gt;$D$4,"Oui",""))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16"/>
      <c r="G15" s="19" t="str">
        <f aca="false">IF(OR(F15="",$B$4=""),"",$B$4-F15)</f>
        <v/>
      </c>
      <c r="H15" s="12" t="str">
        <f aca="false">IF(G15="","",IF(G15&gt;$D$4,"Oui",""))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16"/>
      <c r="G16" s="19" t="str">
        <f aca="false">IF(OR(F16="",$B$4=""),"",$B$4-F16)</f>
        <v/>
      </c>
      <c r="H16" s="12" t="str">
        <f aca="false">IF(G16="","",IF(G16&gt;$D$4,"Oui",""))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16"/>
      <c r="G17" s="19" t="str">
        <f aca="false">IF(OR(F17="",$B$4=""),"",$B$4-F17)</f>
        <v/>
      </c>
      <c r="H17" s="12" t="str">
        <f aca="false">IF(G17="","",IF(G17&gt;$D$4,"Oui",""))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16"/>
      <c r="G18" s="19" t="str">
        <f aca="false">IF(OR(F18="",$B$4=""),"",$B$4-F18)</f>
        <v/>
      </c>
      <c r="H18" s="12" t="str">
        <f aca="false">IF(G18="","",IF(G18&gt;$D$4,"Oui",""))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16"/>
      <c r="G19" s="19" t="str">
        <f aca="false">IF(OR(F19="",$B$4=""),"",$B$4-F19)</f>
        <v/>
      </c>
      <c r="H19" s="12" t="str">
        <f aca="false">IF(G19="","",IF(G19&gt;$D$4,"Oui",""))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16"/>
      <c r="G20" s="19" t="str">
        <f aca="false">IF(OR(F20="",$B$4=""),"",$B$4-F20)</f>
        <v/>
      </c>
      <c r="H20" s="12" t="str">
        <f aca="false">IF(G20="","",IF(G20&gt;$D$4,"Oui",""))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16"/>
      <c r="G21" s="19" t="str">
        <f aca="false">IF(OR(F21="",$B$4=""),"",$B$4-F21)</f>
        <v/>
      </c>
      <c r="H21" s="12" t="str">
        <f aca="false">IF(G21="","",IF(G21&gt;$D$4,"Oui",""))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16"/>
      <c r="G22" s="19" t="str">
        <f aca="false">IF(OR(F22="",$B$4=""),"",$B$4-F22)</f>
        <v/>
      </c>
      <c r="H22" s="12" t="str">
        <f aca="false">IF(G22="","",IF(G22&gt;$D$4,"Oui",""))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16"/>
      <c r="G23" s="19" t="str">
        <f aca="false">IF(OR(F23="",$B$4=""),"",$B$4-F23)</f>
        <v/>
      </c>
      <c r="H23" s="12" t="str">
        <f aca="false">IF(G23="","",IF(G23&gt;$D$4,"Oui",""))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16"/>
      <c r="G24" s="19" t="str">
        <f aca="false">IF(OR(F24="",$B$4=""),"",$B$4-F24)</f>
        <v/>
      </c>
      <c r="H24" s="12" t="str">
        <f aca="false">IF(G24="","",IF(G24&gt;$D$4,"Oui",""))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16"/>
      <c r="G25" s="19" t="str">
        <f aca="false">IF(OR(F25="",$B$4=""),"",$B$4-F25)</f>
        <v/>
      </c>
      <c r="H25" s="12" t="str">
        <f aca="false">IF(G25="","",IF(G25&gt;$D$4,"Oui",""))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16"/>
      <c r="G26" s="19" t="str">
        <f aca="false">IF(OR(F26="",$B$4=""),"",$B$4-F26)</f>
        <v/>
      </c>
      <c r="H26" s="12" t="str">
        <f aca="false">IF(G26="","",IF(G26&gt;$D$4,"Oui",""))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16"/>
      <c r="G27" s="19" t="str">
        <f aca="false">IF(OR(F27="",$B$4=""),"",$B$4-F27)</f>
        <v/>
      </c>
      <c r="H27" s="12" t="str">
        <f aca="false">IF(G27="","",IF(G27&gt;$D$4,"Oui",""))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16"/>
      <c r="G28" s="19" t="str">
        <f aca="false">IF(OR(F28="",$B$4=""),"",$B$4-F28)</f>
        <v/>
      </c>
      <c r="H28" s="12" t="str">
        <f aca="false">IF(G28="","",IF(G28&gt;$D$4,"Oui",""))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16"/>
      <c r="G29" s="19" t="str">
        <f aca="false">IF(OR(F29="",$B$4=""),"",$B$4-F29)</f>
        <v/>
      </c>
      <c r="H29" s="12" t="str">
        <f aca="false">IF(G29="","",IF(G29&gt;$D$4,"Oui",""))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16"/>
      <c r="G30" s="19" t="str">
        <f aca="false">IF(OR(F30="",$B$4=""),"",$B$4-F30)</f>
        <v/>
      </c>
      <c r="H30" s="12" t="str">
        <f aca="false">IF(G30="","",IF(G30&gt;$D$4,"Oui",""))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16"/>
      <c r="G31" s="19" t="str">
        <f aca="false">IF(OR(F31="",$B$4=""),"",$B$4-F31)</f>
        <v/>
      </c>
      <c r="H31" s="12" t="str">
        <f aca="false">IF(G31="","",IF(G31&gt;$D$4,"Oui",""))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16"/>
      <c r="G32" s="19" t="str">
        <f aca="false">IF(OR(F32="",$B$4=""),"",$B$4-F32)</f>
        <v/>
      </c>
      <c r="H32" s="12" t="str">
        <f aca="false">IF(G32="","",IF(G32&gt;$D$4,"Oui",""))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16"/>
      <c r="G33" s="19" t="str">
        <f aca="false">IF(OR(F33="",$B$4=""),"",$B$4-F33)</f>
        <v/>
      </c>
      <c r="H33" s="12" t="str">
        <f aca="false">IF(G33="","",IF(G33&gt;$D$4,"Oui",""))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16"/>
      <c r="G34" s="19" t="str">
        <f aca="false">IF(OR(F34="",$B$4=""),"",$B$4-F34)</f>
        <v/>
      </c>
      <c r="H34" s="12" t="str">
        <f aca="false">IF(G34="","",IF(G34&gt;$D$4,"Oui",""))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16"/>
      <c r="G35" s="19" t="str">
        <f aca="false">IF(OR(F35="",$B$4=""),"",$B$4-F35)</f>
        <v/>
      </c>
      <c r="H35" s="12" t="str">
        <f aca="false">IF(G35="","",IF(G35&gt;$D$4,"Oui",""))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16"/>
      <c r="G36" s="19" t="str">
        <f aca="false">IF(OR(F36="",$B$4=""),"",$B$4-F36)</f>
        <v/>
      </c>
      <c r="H36" s="12" t="str">
        <f aca="false">IF(G36="","",IF(G36&gt;$D$4,"Oui",""))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16"/>
      <c r="G37" s="19" t="str">
        <f aca="false">IF(OR(F37="",$B$4=""),"",$B$4-F37)</f>
        <v/>
      </c>
      <c r="H37" s="12" t="str">
        <f aca="false">IF(G37="","",IF(G37&gt;$D$4,"Oui",""))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16"/>
      <c r="G38" s="19" t="str">
        <f aca="false">IF(OR(F38="",$B$4=""),"",$B$4-F38)</f>
        <v/>
      </c>
      <c r="H38" s="12" t="str">
        <f aca="false">IF(G38="","",IF(G38&gt;$D$4,"Oui",""))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16"/>
      <c r="G39" s="19" t="str">
        <f aca="false">IF(OR(F39="",$B$4=""),"",$B$4-F39)</f>
        <v/>
      </c>
      <c r="H39" s="12" t="str">
        <f aca="false">IF(G39="","",IF(G39&gt;$D$4,"Oui",""))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16"/>
      <c r="G40" s="19" t="str">
        <f aca="false">IF(OR(F40="",$B$4=""),"",$B$4-F40)</f>
        <v/>
      </c>
      <c r="H40" s="12" t="str">
        <f aca="false">IF(G40="","",IF(G40&gt;$D$4,"Oui",""))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16"/>
      <c r="G41" s="19" t="str">
        <f aca="false">IF(OR(F41="",$B$4=""),"",$B$4-F41)</f>
        <v/>
      </c>
      <c r="H41" s="12" t="str">
        <f aca="false">IF(G41="","",IF(G41&gt;$D$4,"Oui",""))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16"/>
      <c r="G42" s="19" t="str">
        <f aca="false">IF(OR(F42="",$B$4=""),"",$B$4-F42)</f>
        <v/>
      </c>
      <c r="H42" s="12" t="str">
        <f aca="false">IF(G42="","",IF(G42&gt;$D$4,"Oui",""))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16"/>
      <c r="G43" s="19" t="str">
        <f aca="false">IF(OR(F43="",$B$4=""),"",$B$4-F43)</f>
        <v/>
      </c>
      <c r="H43" s="12" t="str">
        <f aca="false">IF(G43="","",IF(G43&gt;$D$4,"Oui",""))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16"/>
      <c r="G44" s="19" t="str">
        <f aca="false">IF(OR(F44="",$B$4=""),"",$B$4-F44)</f>
        <v/>
      </c>
      <c r="H44" s="12" t="str">
        <f aca="false">IF(G44="","",IF(G44&gt;$D$4,"Oui",""))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16"/>
      <c r="G45" s="19" t="str">
        <f aca="false">IF(OR(F45="",$B$4=""),"",$B$4-F45)</f>
        <v/>
      </c>
      <c r="H45" s="12" t="str">
        <f aca="false">IF(G45="","",IF(G45&gt;$D$4,"Oui",""))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16"/>
      <c r="G46" s="19" t="str">
        <f aca="false">IF(OR(F46="",$B$4=""),"",$B$4-F46)</f>
        <v/>
      </c>
      <c r="H46" s="12" t="str">
        <f aca="false">IF(G46="","",IF(G46&gt;$D$4,"Oui",""))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16"/>
      <c r="G47" s="19" t="str">
        <f aca="false">IF(OR(F47="",$B$4=""),"",$B$4-F47)</f>
        <v/>
      </c>
      <c r="H47" s="12" t="str">
        <f aca="false">IF(G47="","",IF(G47&gt;$D$4,"Oui",""))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16"/>
      <c r="G48" s="19" t="str">
        <f aca="false">IF(OR(F48="",$B$4=""),"",$B$4-F48)</f>
        <v/>
      </c>
      <c r="H48" s="12" t="str">
        <f aca="false">IF(G48="","",IF(G48&gt;$D$4,"Oui",""))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16"/>
      <c r="G49" s="19" t="str">
        <f aca="false">IF(OR(F49="",$B$4=""),"",$B$4-F49)</f>
        <v/>
      </c>
      <c r="H49" s="12" t="str">
        <f aca="false">IF(G49="","",IF(G49&gt;$D$4,"Oui",""))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16"/>
      <c r="G50" s="19" t="str">
        <f aca="false">IF(OR(F50="",$B$4=""),"",$B$4-F50)</f>
        <v/>
      </c>
      <c r="H50" s="12" t="str">
        <f aca="false">IF(G50="","",IF(G50&gt;$D$4,"Oui",""))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16"/>
      <c r="G51" s="19" t="str">
        <f aca="false">IF(OR(F51="",$B$4=""),"",$B$4-F51)</f>
        <v/>
      </c>
      <c r="H51" s="12" t="str">
        <f aca="false">IF(G51="","",IF(G51&gt;$D$4,"Oui",""))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16"/>
      <c r="G52" s="19" t="str">
        <f aca="false">IF(OR(F52="",$B$4=""),"",$B$4-F52)</f>
        <v/>
      </c>
      <c r="H52" s="12" t="str">
        <f aca="false">IF(G52="","",IF(G52&gt;$D$4,"Oui",""))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16"/>
      <c r="G53" s="19" t="str">
        <f aca="false">IF(OR(F53="",$B$4=""),"",$B$4-F53)</f>
        <v/>
      </c>
      <c r="H53" s="12" t="str">
        <f aca="false">IF(G53="","",IF(G53&gt;$D$4,"Oui",""))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16"/>
      <c r="G54" s="19" t="str">
        <f aca="false">IF(OR(F54="",$B$4=""),"",$B$4-F54)</f>
        <v/>
      </c>
      <c r="H54" s="12" t="str">
        <f aca="false">IF(G54="","",IF(G54&gt;$D$4,"Oui",""))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16"/>
      <c r="G55" s="19" t="str">
        <f aca="false">IF(OR(F55="",$B$4=""),"",$B$4-F55)</f>
        <v/>
      </c>
      <c r="H55" s="12" t="str">
        <f aca="false">IF(G55="","",IF(G55&gt;$D$4,"Oui",""))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16"/>
      <c r="G56" s="19" t="str">
        <f aca="false">IF(OR(F56="",$B$4=""),"",$B$4-F56)</f>
        <v/>
      </c>
      <c r="H56" s="12" t="str">
        <f aca="false">IF(G56="","",IF(G56&gt;$D$4,"Oui",""))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16"/>
      <c r="G57" s="19" t="str">
        <f aca="false">IF(OR(F57="",$B$4=""),"",$B$4-F57)</f>
        <v/>
      </c>
      <c r="H57" s="12" t="str">
        <f aca="false">IF(G57="","",IF(G57&gt;$D$4,"Oui",""))</f>
        <v/>
      </c>
    </row>
    <row r="59" customFormat="false" ht="15" hidden="false" customHeight="false" outlineLevel="0" collapsed="false">
      <c r="A59" s="4" t="s">
        <v>59</v>
      </c>
      <c r="B59" s="20" t="n">
        <f aca="false">COUNTA(A8:A57)</f>
        <v>0</v>
      </c>
    </row>
    <row r="60" customFormat="false" ht="15" hidden="false" customHeight="false" outlineLevel="0" collapsed="false">
      <c r="A60" s="4" t="s">
        <v>60</v>
      </c>
      <c r="B60" s="20" t="n">
        <f aca="false">COUNTIF(H8:H57,"Oui")</f>
        <v>0</v>
      </c>
    </row>
  </sheetData>
  <mergeCells count="1">
    <mergeCell ref="A5:H5"/>
  </mergeCells>
  <conditionalFormatting sqref="H8:H57">
    <cfRule type="expression" priority="2" aboveAverage="0" equalAverage="0" bottom="0" percent="0" rank="0" text="" dxfId="0">
      <formula>H8="Oui"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26"/>
  </cols>
  <sheetData>
    <row r="1" customFormat="false" ht="18.5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27.75" hidden="false" customHeight="true" outlineLevel="0" collapsed="false">
      <c r="A4" s="15" t="s">
        <v>49</v>
      </c>
      <c r="B4" s="16"/>
      <c r="C4" s="17" t="s">
        <v>63</v>
      </c>
      <c r="D4" s="18" t="n">
        <v>15</v>
      </c>
    </row>
    <row r="5" customFormat="false" ht="15" hidden="false" customHeight="true" outlineLevel="0" collapsed="false">
      <c r="A5" s="6" t="s">
        <v>19</v>
      </c>
      <c r="B5" s="6"/>
      <c r="C5" s="6"/>
      <c r="D5" s="6"/>
      <c r="E5" s="6"/>
      <c r="F5" s="6"/>
      <c r="G5" s="6"/>
      <c r="H5" s="6"/>
      <c r="I5" s="6"/>
    </row>
    <row r="7" customFormat="false" ht="30" hidden="false" customHeight="true" outlineLevel="0" collapsed="false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</row>
    <row r="8" customFormat="false" ht="15" hidden="false" customHeight="false" outlineLevel="0" collapsed="false">
      <c r="A8" s="7"/>
      <c r="B8" s="9"/>
      <c r="C8" s="16"/>
      <c r="D8" s="18"/>
      <c r="E8" s="21" t="str">
        <f aca="false">IF(C8="","",C8+IF(D8="",$D$4,D8))</f>
        <v/>
      </c>
      <c r="F8" s="9"/>
      <c r="G8" s="10" t="str">
        <f aca="false">IF(B8="","",B8-N(F8))</f>
        <v/>
      </c>
      <c r="H8" s="19" t="str">
        <f aca="false">IF(OR(E8="",$B$4="",G8=""),"",IF(G8&lt;=0,"",MAX(0,$B$4-E8)))</f>
        <v/>
      </c>
      <c r="I8" s="12" t="str">
        <f aca="false">IF(G8="","",IF(G8&lt;=0,"Payé",IF(H8="","",IF(H8=0,"Dans le délai",IF(H8&lt;=7,"Rappel aimable",IF(H8&lt;=21,"Relance téléphonique","Visite · plus de nouveau crédit"))))))</f>
        <v/>
      </c>
    </row>
    <row r="9" customFormat="false" ht="15" hidden="false" customHeight="false" outlineLevel="0" collapsed="false">
      <c r="A9" s="7"/>
      <c r="B9" s="9"/>
      <c r="C9" s="16"/>
      <c r="D9" s="18"/>
      <c r="E9" s="21" t="str">
        <f aca="false">IF(C9="","",C9+IF(D9="",$D$4,D9))</f>
        <v/>
      </c>
      <c r="F9" s="9"/>
      <c r="G9" s="10" t="str">
        <f aca="false">IF(B9="","",B9-N(F9))</f>
        <v/>
      </c>
      <c r="H9" s="19" t="str">
        <f aca="false">IF(OR(E9="",$B$4="",G9=""),"",IF(G9&lt;=0,"",MAX(0,$B$4-E9)))</f>
        <v/>
      </c>
      <c r="I9" s="12" t="str">
        <f aca="false">IF(G9="","",IF(G9&lt;=0,"Payé",IF(H9="","",IF(H9=0,"Dans le délai",IF(H9&lt;=7,"Rappel aimable",IF(H9&lt;=21,"Relance téléphonique","Visite · plus de nouveau crédit"))))))</f>
        <v/>
      </c>
    </row>
    <row r="10" customFormat="false" ht="15" hidden="false" customHeight="false" outlineLevel="0" collapsed="false">
      <c r="A10" s="7"/>
      <c r="B10" s="9"/>
      <c r="C10" s="16"/>
      <c r="D10" s="18"/>
      <c r="E10" s="21" t="str">
        <f aca="false">IF(C10="","",C10+IF(D10="",$D$4,D10))</f>
        <v/>
      </c>
      <c r="F10" s="9"/>
      <c r="G10" s="10" t="str">
        <f aca="false">IF(B10="","",B10-N(F10))</f>
        <v/>
      </c>
      <c r="H10" s="19" t="str">
        <f aca="false">IF(OR(E10="",$B$4="",G10=""),"",IF(G10&lt;=0,"",MAX(0,$B$4-E10)))</f>
        <v/>
      </c>
      <c r="I10" s="12" t="str">
        <f aca="false">IF(G10="","",IF(G10&lt;=0,"Payé",IF(H10="","",IF(H10=0,"Dans le délai",IF(H10&lt;=7,"Rappel aimable",IF(H10&lt;=21,"Relance téléphonique","Visite · plus de nouveau crédit"))))))</f>
        <v/>
      </c>
    </row>
    <row r="11" customFormat="false" ht="15" hidden="false" customHeight="false" outlineLevel="0" collapsed="false">
      <c r="A11" s="7"/>
      <c r="B11" s="9"/>
      <c r="C11" s="16"/>
      <c r="D11" s="18"/>
      <c r="E11" s="21" t="str">
        <f aca="false">IF(C11="","",C11+IF(D11="",$D$4,D11))</f>
        <v/>
      </c>
      <c r="F11" s="9"/>
      <c r="G11" s="10" t="str">
        <f aca="false">IF(B11="","",B11-N(F11))</f>
        <v/>
      </c>
      <c r="H11" s="19" t="str">
        <f aca="false">IF(OR(E11="",$B$4="",G11=""),"",IF(G11&lt;=0,"",MAX(0,$B$4-E11)))</f>
        <v/>
      </c>
      <c r="I11" s="12" t="str">
        <f aca="false">IF(G11="","",IF(G11&lt;=0,"Payé",IF(H11="","",IF(H11=0,"Dans le délai",IF(H11&lt;=7,"Rappel aimable",IF(H11&lt;=21,"Relance téléphonique","Visite · plus de nouveau crédit"))))))</f>
        <v/>
      </c>
    </row>
    <row r="12" customFormat="false" ht="15" hidden="false" customHeight="false" outlineLevel="0" collapsed="false">
      <c r="A12" s="7"/>
      <c r="B12" s="9"/>
      <c r="C12" s="16"/>
      <c r="D12" s="18"/>
      <c r="E12" s="21" t="str">
        <f aca="false">IF(C12="","",C12+IF(D12="",$D$4,D12))</f>
        <v/>
      </c>
      <c r="F12" s="9"/>
      <c r="G12" s="10" t="str">
        <f aca="false">IF(B12="","",B12-N(F12))</f>
        <v/>
      </c>
      <c r="H12" s="19" t="str">
        <f aca="false">IF(OR(E12="",$B$4="",G12=""),"",IF(G12&lt;=0,"",MAX(0,$B$4-E12)))</f>
        <v/>
      </c>
      <c r="I12" s="12" t="str">
        <f aca="false">IF(G12="","",IF(G12&lt;=0,"Payé",IF(H12="","",IF(H12=0,"Dans le délai",IF(H12&lt;=7,"Rappel aimable",IF(H12&lt;=21,"Relance téléphonique","Visite · plus de nouveau crédit"))))))</f>
        <v/>
      </c>
    </row>
    <row r="13" customFormat="false" ht="15" hidden="false" customHeight="false" outlineLevel="0" collapsed="false">
      <c r="A13" s="7"/>
      <c r="B13" s="9"/>
      <c r="C13" s="16"/>
      <c r="D13" s="18"/>
      <c r="E13" s="21" t="str">
        <f aca="false">IF(C13="","",C13+IF(D13="",$D$4,D13))</f>
        <v/>
      </c>
      <c r="F13" s="9"/>
      <c r="G13" s="10" t="str">
        <f aca="false">IF(B13="","",B13-N(F13))</f>
        <v/>
      </c>
      <c r="H13" s="19" t="str">
        <f aca="false">IF(OR(E13="",$B$4="",G13=""),"",IF(G13&lt;=0,"",MAX(0,$B$4-E13)))</f>
        <v/>
      </c>
      <c r="I13" s="12" t="str">
        <f aca="false">IF(G13="","",IF(G13&lt;=0,"Payé",IF(H13="","",IF(H13=0,"Dans le délai",IF(H13&lt;=7,"Rappel aimable",IF(H13&lt;=21,"Relance téléphonique","Visite · plus de nouveau crédit"))))))</f>
        <v/>
      </c>
    </row>
    <row r="14" customFormat="false" ht="15" hidden="false" customHeight="false" outlineLevel="0" collapsed="false">
      <c r="A14" s="7"/>
      <c r="B14" s="9"/>
      <c r="C14" s="16"/>
      <c r="D14" s="18"/>
      <c r="E14" s="21" t="str">
        <f aca="false">IF(C14="","",C14+IF(D14="",$D$4,D14))</f>
        <v/>
      </c>
      <c r="F14" s="9"/>
      <c r="G14" s="10" t="str">
        <f aca="false">IF(B14="","",B14-N(F14))</f>
        <v/>
      </c>
      <c r="H14" s="19" t="str">
        <f aca="false">IF(OR(E14="",$B$4="",G14=""),"",IF(G14&lt;=0,"",MAX(0,$B$4-E14)))</f>
        <v/>
      </c>
      <c r="I14" s="12" t="str">
        <f aca="false">IF(G14="","",IF(G14&lt;=0,"Payé",IF(H14="","",IF(H14=0,"Dans le délai",IF(H14&lt;=7,"Rappel aimable",IF(H14&lt;=21,"Relance téléphonique","Visite · plus de nouveau crédit"))))))</f>
        <v/>
      </c>
    </row>
    <row r="15" customFormat="false" ht="15" hidden="false" customHeight="false" outlineLevel="0" collapsed="false">
      <c r="A15" s="7"/>
      <c r="B15" s="9"/>
      <c r="C15" s="16"/>
      <c r="D15" s="18"/>
      <c r="E15" s="21" t="str">
        <f aca="false">IF(C15="","",C15+IF(D15="",$D$4,D15))</f>
        <v/>
      </c>
      <c r="F15" s="9"/>
      <c r="G15" s="10" t="str">
        <f aca="false">IF(B15="","",B15-N(F15))</f>
        <v/>
      </c>
      <c r="H15" s="19" t="str">
        <f aca="false">IF(OR(E15="",$B$4="",G15=""),"",IF(G15&lt;=0,"",MAX(0,$B$4-E15)))</f>
        <v/>
      </c>
      <c r="I15" s="12" t="str">
        <f aca="false">IF(G15="","",IF(G15&lt;=0,"Payé",IF(H15="","",IF(H15=0,"Dans le délai",IF(H15&lt;=7,"Rappel aimable",IF(H15&lt;=21,"Relance téléphonique","Visite · plus de nouveau crédit"))))))</f>
        <v/>
      </c>
    </row>
    <row r="16" customFormat="false" ht="15" hidden="false" customHeight="false" outlineLevel="0" collapsed="false">
      <c r="A16" s="7"/>
      <c r="B16" s="9"/>
      <c r="C16" s="16"/>
      <c r="D16" s="18"/>
      <c r="E16" s="21" t="str">
        <f aca="false">IF(C16="","",C16+IF(D16="",$D$4,D16))</f>
        <v/>
      </c>
      <c r="F16" s="9"/>
      <c r="G16" s="10" t="str">
        <f aca="false">IF(B16="","",B16-N(F16))</f>
        <v/>
      </c>
      <c r="H16" s="19" t="str">
        <f aca="false">IF(OR(E16="",$B$4="",G16=""),"",IF(G16&lt;=0,"",MAX(0,$B$4-E16)))</f>
        <v/>
      </c>
      <c r="I16" s="12" t="str">
        <f aca="false">IF(G16="","",IF(G16&lt;=0,"Payé",IF(H16="","",IF(H16=0,"Dans le délai",IF(H16&lt;=7,"Rappel aimable",IF(H16&lt;=21,"Relance téléphonique","Visite · plus de nouveau crédit"))))))</f>
        <v/>
      </c>
    </row>
    <row r="17" customFormat="false" ht="15" hidden="false" customHeight="false" outlineLevel="0" collapsed="false">
      <c r="A17" s="7"/>
      <c r="B17" s="9"/>
      <c r="C17" s="16"/>
      <c r="D17" s="18"/>
      <c r="E17" s="21" t="str">
        <f aca="false">IF(C17="","",C17+IF(D17="",$D$4,D17))</f>
        <v/>
      </c>
      <c r="F17" s="9"/>
      <c r="G17" s="10" t="str">
        <f aca="false">IF(B17="","",B17-N(F17))</f>
        <v/>
      </c>
      <c r="H17" s="19" t="str">
        <f aca="false">IF(OR(E17="",$B$4="",G17=""),"",IF(G17&lt;=0,"",MAX(0,$B$4-E17)))</f>
        <v/>
      </c>
      <c r="I17" s="12" t="str">
        <f aca="false">IF(G17="","",IF(G17&lt;=0,"Payé",IF(H17="","",IF(H17=0,"Dans le délai",IF(H17&lt;=7,"Rappel aimable",IF(H17&lt;=21,"Relance téléphonique","Visite · plus de nouveau crédit"))))))</f>
        <v/>
      </c>
    </row>
    <row r="18" customFormat="false" ht="15" hidden="false" customHeight="false" outlineLevel="0" collapsed="false">
      <c r="A18" s="7"/>
      <c r="B18" s="9"/>
      <c r="C18" s="16"/>
      <c r="D18" s="18"/>
      <c r="E18" s="21" t="str">
        <f aca="false">IF(C18="","",C18+IF(D18="",$D$4,D18))</f>
        <v/>
      </c>
      <c r="F18" s="9"/>
      <c r="G18" s="10" t="str">
        <f aca="false">IF(B18="","",B18-N(F18))</f>
        <v/>
      </c>
      <c r="H18" s="19" t="str">
        <f aca="false">IF(OR(E18="",$B$4="",G18=""),"",IF(G18&lt;=0,"",MAX(0,$B$4-E18)))</f>
        <v/>
      </c>
      <c r="I18" s="12" t="str">
        <f aca="false">IF(G18="","",IF(G18&lt;=0,"Payé",IF(H18="","",IF(H18=0,"Dans le délai",IF(H18&lt;=7,"Rappel aimable",IF(H18&lt;=21,"Relance téléphonique","Visite · plus de nouveau crédit"))))))</f>
        <v/>
      </c>
    </row>
    <row r="19" customFormat="false" ht="15" hidden="false" customHeight="false" outlineLevel="0" collapsed="false">
      <c r="A19" s="7"/>
      <c r="B19" s="9"/>
      <c r="C19" s="16"/>
      <c r="D19" s="18"/>
      <c r="E19" s="21" t="str">
        <f aca="false">IF(C19="","",C19+IF(D19="",$D$4,D19))</f>
        <v/>
      </c>
      <c r="F19" s="9"/>
      <c r="G19" s="10" t="str">
        <f aca="false">IF(B19="","",B19-N(F19))</f>
        <v/>
      </c>
      <c r="H19" s="19" t="str">
        <f aca="false">IF(OR(E19="",$B$4="",G19=""),"",IF(G19&lt;=0,"",MAX(0,$B$4-E19)))</f>
        <v/>
      </c>
      <c r="I19" s="12" t="str">
        <f aca="false">IF(G19="","",IF(G19&lt;=0,"Payé",IF(H19="","",IF(H19=0,"Dans le délai",IF(H19&lt;=7,"Rappel aimable",IF(H19&lt;=21,"Relance téléphonique","Visite · plus de nouveau crédit"))))))</f>
        <v/>
      </c>
    </row>
    <row r="20" customFormat="false" ht="15" hidden="false" customHeight="false" outlineLevel="0" collapsed="false">
      <c r="A20" s="7"/>
      <c r="B20" s="9"/>
      <c r="C20" s="16"/>
      <c r="D20" s="18"/>
      <c r="E20" s="21" t="str">
        <f aca="false">IF(C20="","",C20+IF(D20="",$D$4,D20))</f>
        <v/>
      </c>
      <c r="F20" s="9"/>
      <c r="G20" s="10" t="str">
        <f aca="false">IF(B20="","",B20-N(F20))</f>
        <v/>
      </c>
      <c r="H20" s="19" t="str">
        <f aca="false">IF(OR(E20="",$B$4="",G20=""),"",IF(G20&lt;=0,"",MAX(0,$B$4-E20)))</f>
        <v/>
      </c>
      <c r="I20" s="12" t="str">
        <f aca="false">IF(G20="","",IF(G20&lt;=0,"Payé",IF(H20="","",IF(H20=0,"Dans le délai",IF(H20&lt;=7,"Rappel aimable",IF(H20&lt;=21,"Relance téléphonique","Visite · plus de nouveau crédit"))))))</f>
        <v/>
      </c>
    </row>
    <row r="21" customFormat="false" ht="15" hidden="false" customHeight="false" outlineLevel="0" collapsed="false">
      <c r="A21" s="7"/>
      <c r="B21" s="9"/>
      <c r="C21" s="16"/>
      <c r="D21" s="18"/>
      <c r="E21" s="21" t="str">
        <f aca="false">IF(C21="","",C21+IF(D21="",$D$4,D21))</f>
        <v/>
      </c>
      <c r="F21" s="9"/>
      <c r="G21" s="10" t="str">
        <f aca="false">IF(B21="","",B21-N(F21))</f>
        <v/>
      </c>
      <c r="H21" s="19" t="str">
        <f aca="false">IF(OR(E21="",$B$4="",G21=""),"",IF(G21&lt;=0,"",MAX(0,$B$4-E21)))</f>
        <v/>
      </c>
      <c r="I21" s="12" t="str">
        <f aca="false">IF(G21="","",IF(G21&lt;=0,"Payé",IF(H21="","",IF(H21=0,"Dans le délai",IF(H21&lt;=7,"Rappel aimable",IF(H21&lt;=21,"Relance téléphonique","Visite · plus de nouveau crédit"))))))</f>
        <v/>
      </c>
    </row>
    <row r="22" customFormat="false" ht="15" hidden="false" customHeight="false" outlineLevel="0" collapsed="false">
      <c r="A22" s="7"/>
      <c r="B22" s="9"/>
      <c r="C22" s="16"/>
      <c r="D22" s="18"/>
      <c r="E22" s="21" t="str">
        <f aca="false">IF(C22="","",C22+IF(D22="",$D$4,D22))</f>
        <v/>
      </c>
      <c r="F22" s="9"/>
      <c r="G22" s="10" t="str">
        <f aca="false">IF(B22="","",B22-N(F22))</f>
        <v/>
      </c>
      <c r="H22" s="19" t="str">
        <f aca="false">IF(OR(E22="",$B$4="",G22=""),"",IF(G22&lt;=0,"",MAX(0,$B$4-E22)))</f>
        <v/>
      </c>
      <c r="I22" s="12" t="str">
        <f aca="false">IF(G22="","",IF(G22&lt;=0,"Payé",IF(H22="","",IF(H22=0,"Dans le délai",IF(H22&lt;=7,"Rappel aimable",IF(H22&lt;=21,"Relance téléphonique","Visite · plus de nouveau crédit"))))))</f>
        <v/>
      </c>
    </row>
    <row r="23" customFormat="false" ht="15" hidden="false" customHeight="false" outlineLevel="0" collapsed="false">
      <c r="A23" s="7"/>
      <c r="B23" s="9"/>
      <c r="C23" s="16"/>
      <c r="D23" s="18"/>
      <c r="E23" s="21" t="str">
        <f aca="false">IF(C23="","",C23+IF(D23="",$D$4,D23))</f>
        <v/>
      </c>
      <c r="F23" s="9"/>
      <c r="G23" s="10" t="str">
        <f aca="false">IF(B23="","",B23-N(F23))</f>
        <v/>
      </c>
      <c r="H23" s="19" t="str">
        <f aca="false">IF(OR(E23="",$B$4="",G23=""),"",IF(G23&lt;=0,"",MAX(0,$B$4-E23)))</f>
        <v/>
      </c>
      <c r="I23" s="12" t="str">
        <f aca="false">IF(G23="","",IF(G23&lt;=0,"Payé",IF(H23="","",IF(H23=0,"Dans le délai",IF(H23&lt;=7,"Rappel aimable",IF(H23&lt;=21,"Relance téléphonique","Visite · plus de nouveau crédit"))))))</f>
        <v/>
      </c>
    </row>
    <row r="24" customFormat="false" ht="15" hidden="false" customHeight="false" outlineLevel="0" collapsed="false">
      <c r="A24" s="7"/>
      <c r="B24" s="9"/>
      <c r="C24" s="16"/>
      <c r="D24" s="18"/>
      <c r="E24" s="21" t="str">
        <f aca="false">IF(C24="","",C24+IF(D24="",$D$4,D24))</f>
        <v/>
      </c>
      <c r="F24" s="9"/>
      <c r="G24" s="10" t="str">
        <f aca="false">IF(B24="","",B24-N(F24))</f>
        <v/>
      </c>
      <c r="H24" s="19" t="str">
        <f aca="false">IF(OR(E24="",$B$4="",G24=""),"",IF(G24&lt;=0,"",MAX(0,$B$4-E24)))</f>
        <v/>
      </c>
      <c r="I24" s="12" t="str">
        <f aca="false">IF(G24="","",IF(G24&lt;=0,"Payé",IF(H24="","",IF(H24=0,"Dans le délai",IF(H24&lt;=7,"Rappel aimable",IF(H24&lt;=21,"Relance téléphonique","Visite · plus de nouveau crédit"))))))</f>
        <v/>
      </c>
    </row>
    <row r="25" customFormat="false" ht="15" hidden="false" customHeight="false" outlineLevel="0" collapsed="false">
      <c r="A25" s="7"/>
      <c r="B25" s="9"/>
      <c r="C25" s="16"/>
      <c r="D25" s="18"/>
      <c r="E25" s="21" t="str">
        <f aca="false">IF(C25="","",C25+IF(D25="",$D$4,D25))</f>
        <v/>
      </c>
      <c r="F25" s="9"/>
      <c r="G25" s="10" t="str">
        <f aca="false">IF(B25="","",B25-N(F25))</f>
        <v/>
      </c>
      <c r="H25" s="19" t="str">
        <f aca="false">IF(OR(E25="",$B$4="",G25=""),"",IF(G25&lt;=0,"",MAX(0,$B$4-E25)))</f>
        <v/>
      </c>
      <c r="I25" s="12" t="str">
        <f aca="false">IF(G25="","",IF(G25&lt;=0,"Payé",IF(H25="","",IF(H25=0,"Dans le délai",IF(H25&lt;=7,"Rappel aimable",IF(H25&lt;=21,"Relance téléphonique","Visite · plus de nouveau crédit"))))))</f>
        <v/>
      </c>
    </row>
    <row r="26" customFormat="false" ht="15" hidden="false" customHeight="false" outlineLevel="0" collapsed="false">
      <c r="A26" s="7"/>
      <c r="B26" s="9"/>
      <c r="C26" s="16"/>
      <c r="D26" s="18"/>
      <c r="E26" s="21" t="str">
        <f aca="false">IF(C26="","",C26+IF(D26="",$D$4,D26))</f>
        <v/>
      </c>
      <c r="F26" s="9"/>
      <c r="G26" s="10" t="str">
        <f aca="false">IF(B26="","",B26-N(F26))</f>
        <v/>
      </c>
      <c r="H26" s="19" t="str">
        <f aca="false">IF(OR(E26="",$B$4="",G26=""),"",IF(G26&lt;=0,"",MAX(0,$B$4-E26)))</f>
        <v/>
      </c>
      <c r="I26" s="12" t="str">
        <f aca="false">IF(G26="","",IF(G26&lt;=0,"Payé",IF(H26="","",IF(H26=0,"Dans le délai",IF(H26&lt;=7,"Rappel aimable",IF(H26&lt;=21,"Relance téléphonique","Visite · plus de nouveau crédit"))))))</f>
        <v/>
      </c>
    </row>
    <row r="27" customFormat="false" ht="15" hidden="false" customHeight="false" outlineLevel="0" collapsed="false">
      <c r="A27" s="7"/>
      <c r="B27" s="9"/>
      <c r="C27" s="16"/>
      <c r="D27" s="18"/>
      <c r="E27" s="21" t="str">
        <f aca="false">IF(C27="","",C27+IF(D27="",$D$4,D27))</f>
        <v/>
      </c>
      <c r="F27" s="9"/>
      <c r="G27" s="10" t="str">
        <f aca="false">IF(B27="","",B27-N(F27))</f>
        <v/>
      </c>
      <c r="H27" s="19" t="str">
        <f aca="false">IF(OR(E27="",$B$4="",G27=""),"",IF(G27&lt;=0,"",MAX(0,$B$4-E27)))</f>
        <v/>
      </c>
      <c r="I27" s="12" t="str">
        <f aca="false">IF(G27="","",IF(G27&lt;=0,"Payé",IF(H27="","",IF(H27=0,"Dans le délai",IF(H27&lt;=7,"Rappel aimable",IF(H27&lt;=21,"Relance téléphonique","Visite · plus de nouveau crédit"))))))</f>
        <v/>
      </c>
    </row>
    <row r="28" customFormat="false" ht="15" hidden="false" customHeight="false" outlineLevel="0" collapsed="false">
      <c r="A28" s="7"/>
      <c r="B28" s="9"/>
      <c r="C28" s="16"/>
      <c r="D28" s="18"/>
      <c r="E28" s="21" t="str">
        <f aca="false">IF(C28="","",C28+IF(D28="",$D$4,D28))</f>
        <v/>
      </c>
      <c r="F28" s="9"/>
      <c r="G28" s="10" t="str">
        <f aca="false">IF(B28="","",B28-N(F28))</f>
        <v/>
      </c>
      <c r="H28" s="19" t="str">
        <f aca="false">IF(OR(E28="",$B$4="",G28=""),"",IF(G28&lt;=0,"",MAX(0,$B$4-E28)))</f>
        <v/>
      </c>
      <c r="I28" s="12" t="str">
        <f aca="false">IF(G28="","",IF(G28&lt;=0,"Payé",IF(H28="","",IF(H28=0,"Dans le délai",IF(H28&lt;=7,"Rappel aimable",IF(H28&lt;=21,"Relance téléphonique","Visite · plus de nouveau crédit"))))))</f>
        <v/>
      </c>
    </row>
    <row r="29" customFormat="false" ht="15" hidden="false" customHeight="false" outlineLevel="0" collapsed="false">
      <c r="A29" s="7"/>
      <c r="B29" s="9"/>
      <c r="C29" s="16"/>
      <c r="D29" s="18"/>
      <c r="E29" s="21" t="str">
        <f aca="false">IF(C29="","",C29+IF(D29="",$D$4,D29))</f>
        <v/>
      </c>
      <c r="F29" s="9"/>
      <c r="G29" s="10" t="str">
        <f aca="false">IF(B29="","",B29-N(F29))</f>
        <v/>
      </c>
      <c r="H29" s="19" t="str">
        <f aca="false">IF(OR(E29="",$B$4="",G29=""),"",IF(G29&lt;=0,"",MAX(0,$B$4-E29)))</f>
        <v/>
      </c>
      <c r="I29" s="12" t="str">
        <f aca="false">IF(G29="","",IF(G29&lt;=0,"Payé",IF(H29="","",IF(H29=0,"Dans le délai",IF(H29&lt;=7,"Rappel aimable",IF(H29&lt;=21,"Relance téléphonique","Visite · plus de nouveau crédit"))))))</f>
        <v/>
      </c>
    </row>
    <row r="30" customFormat="false" ht="15" hidden="false" customHeight="false" outlineLevel="0" collapsed="false">
      <c r="A30" s="7"/>
      <c r="B30" s="9"/>
      <c r="C30" s="16"/>
      <c r="D30" s="18"/>
      <c r="E30" s="21" t="str">
        <f aca="false">IF(C30="","",C30+IF(D30="",$D$4,D30))</f>
        <v/>
      </c>
      <c r="F30" s="9"/>
      <c r="G30" s="10" t="str">
        <f aca="false">IF(B30="","",B30-N(F30))</f>
        <v/>
      </c>
      <c r="H30" s="19" t="str">
        <f aca="false">IF(OR(E30="",$B$4="",G30=""),"",IF(G30&lt;=0,"",MAX(0,$B$4-E30)))</f>
        <v/>
      </c>
      <c r="I30" s="12" t="str">
        <f aca="false">IF(G30="","",IF(G30&lt;=0,"Payé",IF(H30="","",IF(H30=0,"Dans le délai",IF(H30&lt;=7,"Rappel aimable",IF(H30&lt;=21,"Relance téléphonique","Visite · plus de nouveau crédit"))))))</f>
        <v/>
      </c>
    </row>
    <row r="31" customFormat="false" ht="15" hidden="false" customHeight="false" outlineLevel="0" collapsed="false">
      <c r="A31" s="7"/>
      <c r="B31" s="9"/>
      <c r="C31" s="16"/>
      <c r="D31" s="18"/>
      <c r="E31" s="21" t="str">
        <f aca="false">IF(C31="","",C31+IF(D31="",$D$4,D31))</f>
        <v/>
      </c>
      <c r="F31" s="9"/>
      <c r="G31" s="10" t="str">
        <f aca="false">IF(B31="","",B31-N(F31))</f>
        <v/>
      </c>
      <c r="H31" s="19" t="str">
        <f aca="false">IF(OR(E31="",$B$4="",G31=""),"",IF(G31&lt;=0,"",MAX(0,$B$4-E31)))</f>
        <v/>
      </c>
      <c r="I31" s="12" t="str">
        <f aca="false">IF(G31="","",IF(G31&lt;=0,"Payé",IF(H31="","",IF(H31=0,"Dans le délai",IF(H31&lt;=7,"Rappel aimable",IF(H31&lt;=21,"Relance téléphonique","Visite · plus de nouveau crédit"))))))</f>
        <v/>
      </c>
    </row>
    <row r="32" customFormat="false" ht="15" hidden="false" customHeight="false" outlineLevel="0" collapsed="false">
      <c r="A32" s="7"/>
      <c r="B32" s="9"/>
      <c r="C32" s="16"/>
      <c r="D32" s="18"/>
      <c r="E32" s="21" t="str">
        <f aca="false">IF(C32="","",C32+IF(D32="",$D$4,D32))</f>
        <v/>
      </c>
      <c r="F32" s="9"/>
      <c r="G32" s="10" t="str">
        <f aca="false">IF(B32="","",B32-N(F32))</f>
        <v/>
      </c>
      <c r="H32" s="19" t="str">
        <f aca="false">IF(OR(E32="",$B$4="",G32=""),"",IF(G32&lt;=0,"",MAX(0,$B$4-E32)))</f>
        <v/>
      </c>
      <c r="I32" s="12" t="str">
        <f aca="false">IF(G32="","",IF(G32&lt;=0,"Payé",IF(H32="","",IF(H32=0,"Dans le délai",IF(H32&lt;=7,"Rappel aimable",IF(H32&lt;=21,"Relance téléphonique","Visite · plus de nouveau crédit"))))))</f>
        <v/>
      </c>
    </row>
    <row r="33" customFormat="false" ht="15" hidden="false" customHeight="false" outlineLevel="0" collapsed="false">
      <c r="A33" s="7"/>
      <c r="B33" s="9"/>
      <c r="C33" s="16"/>
      <c r="D33" s="18"/>
      <c r="E33" s="21" t="str">
        <f aca="false">IF(C33="","",C33+IF(D33="",$D$4,D33))</f>
        <v/>
      </c>
      <c r="F33" s="9"/>
      <c r="G33" s="10" t="str">
        <f aca="false">IF(B33="","",B33-N(F33))</f>
        <v/>
      </c>
      <c r="H33" s="19" t="str">
        <f aca="false">IF(OR(E33="",$B$4="",G33=""),"",IF(G33&lt;=0,"",MAX(0,$B$4-E33)))</f>
        <v/>
      </c>
      <c r="I33" s="12" t="str">
        <f aca="false">IF(G33="","",IF(G33&lt;=0,"Payé",IF(H33="","",IF(H33=0,"Dans le délai",IF(H33&lt;=7,"Rappel aimable",IF(H33&lt;=21,"Relance téléphonique","Visite · plus de nouveau crédit"))))))</f>
        <v/>
      </c>
    </row>
    <row r="34" customFormat="false" ht="15" hidden="false" customHeight="false" outlineLevel="0" collapsed="false">
      <c r="A34" s="7"/>
      <c r="B34" s="9"/>
      <c r="C34" s="16"/>
      <c r="D34" s="18"/>
      <c r="E34" s="21" t="str">
        <f aca="false">IF(C34="","",C34+IF(D34="",$D$4,D34))</f>
        <v/>
      </c>
      <c r="F34" s="9"/>
      <c r="G34" s="10" t="str">
        <f aca="false">IF(B34="","",B34-N(F34))</f>
        <v/>
      </c>
      <c r="H34" s="19" t="str">
        <f aca="false">IF(OR(E34="",$B$4="",G34=""),"",IF(G34&lt;=0,"",MAX(0,$B$4-E34)))</f>
        <v/>
      </c>
      <c r="I34" s="12" t="str">
        <f aca="false">IF(G34="","",IF(G34&lt;=0,"Payé",IF(H34="","",IF(H34=0,"Dans le délai",IF(H34&lt;=7,"Rappel aimable",IF(H34&lt;=21,"Relance téléphonique","Visite · plus de nouveau crédit"))))))</f>
        <v/>
      </c>
    </row>
    <row r="35" customFormat="false" ht="15" hidden="false" customHeight="false" outlineLevel="0" collapsed="false">
      <c r="A35" s="7"/>
      <c r="B35" s="9"/>
      <c r="C35" s="16"/>
      <c r="D35" s="18"/>
      <c r="E35" s="21" t="str">
        <f aca="false">IF(C35="","",C35+IF(D35="",$D$4,D35))</f>
        <v/>
      </c>
      <c r="F35" s="9"/>
      <c r="G35" s="10" t="str">
        <f aca="false">IF(B35="","",B35-N(F35))</f>
        <v/>
      </c>
      <c r="H35" s="19" t="str">
        <f aca="false">IF(OR(E35="",$B$4="",G35=""),"",IF(G35&lt;=0,"",MAX(0,$B$4-E35)))</f>
        <v/>
      </c>
      <c r="I35" s="12" t="str">
        <f aca="false">IF(G35="","",IF(G35&lt;=0,"Payé",IF(H35="","",IF(H35=0,"Dans le délai",IF(H35&lt;=7,"Rappel aimable",IF(H35&lt;=21,"Relance téléphonique","Visite · plus de nouveau crédit"))))))</f>
        <v/>
      </c>
    </row>
    <row r="36" customFormat="false" ht="15" hidden="false" customHeight="false" outlineLevel="0" collapsed="false">
      <c r="A36" s="7"/>
      <c r="B36" s="9"/>
      <c r="C36" s="16"/>
      <c r="D36" s="18"/>
      <c r="E36" s="21" t="str">
        <f aca="false">IF(C36="","",C36+IF(D36="",$D$4,D36))</f>
        <v/>
      </c>
      <c r="F36" s="9"/>
      <c r="G36" s="10" t="str">
        <f aca="false">IF(B36="","",B36-N(F36))</f>
        <v/>
      </c>
      <c r="H36" s="19" t="str">
        <f aca="false">IF(OR(E36="",$B$4="",G36=""),"",IF(G36&lt;=0,"",MAX(0,$B$4-E36)))</f>
        <v/>
      </c>
      <c r="I36" s="12" t="str">
        <f aca="false">IF(G36="","",IF(G36&lt;=0,"Payé",IF(H36="","",IF(H36=0,"Dans le délai",IF(H36&lt;=7,"Rappel aimable",IF(H36&lt;=21,"Relance téléphonique","Visite · plus de nouveau crédit"))))))</f>
        <v/>
      </c>
    </row>
    <row r="37" customFormat="false" ht="15" hidden="false" customHeight="false" outlineLevel="0" collapsed="false">
      <c r="A37" s="7"/>
      <c r="B37" s="9"/>
      <c r="C37" s="16"/>
      <c r="D37" s="18"/>
      <c r="E37" s="21" t="str">
        <f aca="false">IF(C37="","",C37+IF(D37="",$D$4,D37))</f>
        <v/>
      </c>
      <c r="F37" s="9"/>
      <c r="G37" s="10" t="str">
        <f aca="false">IF(B37="","",B37-N(F37))</f>
        <v/>
      </c>
      <c r="H37" s="19" t="str">
        <f aca="false">IF(OR(E37="",$B$4="",G37=""),"",IF(G37&lt;=0,"",MAX(0,$B$4-E37)))</f>
        <v/>
      </c>
      <c r="I37" s="12" t="str">
        <f aca="false">IF(G37="","",IF(G37&lt;=0,"Payé",IF(H37="","",IF(H37=0,"Dans le délai",IF(H37&lt;=7,"Rappel aimable",IF(H37&lt;=21,"Relance téléphonique","Visite · plus de nouveau crédit"))))))</f>
        <v/>
      </c>
    </row>
    <row r="38" customFormat="false" ht="15" hidden="false" customHeight="false" outlineLevel="0" collapsed="false">
      <c r="A38" s="7"/>
      <c r="B38" s="9"/>
      <c r="C38" s="16"/>
      <c r="D38" s="18"/>
      <c r="E38" s="21" t="str">
        <f aca="false">IF(C38="","",C38+IF(D38="",$D$4,D38))</f>
        <v/>
      </c>
      <c r="F38" s="9"/>
      <c r="G38" s="10" t="str">
        <f aca="false">IF(B38="","",B38-N(F38))</f>
        <v/>
      </c>
      <c r="H38" s="19" t="str">
        <f aca="false">IF(OR(E38="",$B$4="",G38=""),"",IF(G38&lt;=0,"",MAX(0,$B$4-E38)))</f>
        <v/>
      </c>
      <c r="I38" s="12" t="str">
        <f aca="false">IF(G38="","",IF(G38&lt;=0,"Payé",IF(H38="","",IF(H38=0,"Dans le délai",IF(H38&lt;=7,"Rappel aimable",IF(H38&lt;=21,"Relance téléphonique","Visite · plus de nouveau crédit"))))))</f>
        <v/>
      </c>
    </row>
    <row r="39" customFormat="false" ht="15" hidden="false" customHeight="false" outlineLevel="0" collapsed="false">
      <c r="A39" s="7"/>
      <c r="B39" s="9"/>
      <c r="C39" s="16"/>
      <c r="D39" s="18"/>
      <c r="E39" s="21" t="str">
        <f aca="false">IF(C39="","",C39+IF(D39="",$D$4,D39))</f>
        <v/>
      </c>
      <c r="F39" s="9"/>
      <c r="G39" s="10" t="str">
        <f aca="false">IF(B39="","",B39-N(F39))</f>
        <v/>
      </c>
      <c r="H39" s="19" t="str">
        <f aca="false">IF(OR(E39="",$B$4="",G39=""),"",IF(G39&lt;=0,"",MAX(0,$B$4-E39)))</f>
        <v/>
      </c>
      <c r="I39" s="12" t="str">
        <f aca="false">IF(G39="","",IF(G39&lt;=0,"Payé",IF(H39="","",IF(H39=0,"Dans le délai",IF(H39&lt;=7,"Rappel aimable",IF(H39&lt;=21,"Relance téléphonique","Visite · plus de nouveau crédit"))))))</f>
        <v/>
      </c>
    </row>
    <row r="40" customFormat="false" ht="15" hidden="false" customHeight="false" outlineLevel="0" collapsed="false">
      <c r="A40" s="7"/>
      <c r="B40" s="9"/>
      <c r="C40" s="16"/>
      <c r="D40" s="18"/>
      <c r="E40" s="21" t="str">
        <f aca="false">IF(C40="","",C40+IF(D40="",$D$4,D40))</f>
        <v/>
      </c>
      <c r="F40" s="9"/>
      <c r="G40" s="10" t="str">
        <f aca="false">IF(B40="","",B40-N(F40))</f>
        <v/>
      </c>
      <c r="H40" s="19" t="str">
        <f aca="false">IF(OR(E40="",$B$4="",G40=""),"",IF(G40&lt;=0,"",MAX(0,$B$4-E40)))</f>
        <v/>
      </c>
      <c r="I40" s="12" t="str">
        <f aca="false">IF(G40="","",IF(G40&lt;=0,"Payé",IF(H40="","",IF(H40=0,"Dans le délai",IF(H40&lt;=7,"Rappel aimable",IF(H40&lt;=21,"Relance téléphonique","Visite · plus de nouveau crédit"))))))</f>
        <v/>
      </c>
    </row>
    <row r="41" customFormat="false" ht="15" hidden="false" customHeight="false" outlineLevel="0" collapsed="false">
      <c r="A41" s="7"/>
      <c r="B41" s="9"/>
      <c r="C41" s="16"/>
      <c r="D41" s="18"/>
      <c r="E41" s="21" t="str">
        <f aca="false">IF(C41="","",C41+IF(D41="",$D$4,D41))</f>
        <v/>
      </c>
      <c r="F41" s="9"/>
      <c r="G41" s="10" t="str">
        <f aca="false">IF(B41="","",B41-N(F41))</f>
        <v/>
      </c>
      <c r="H41" s="19" t="str">
        <f aca="false">IF(OR(E41="",$B$4="",G41=""),"",IF(G41&lt;=0,"",MAX(0,$B$4-E41)))</f>
        <v/>
      </c>
      <c r="I41" s="12" t="str">
        <f aca="false">IF(G41="","",IF(G41&lt;=0,"Payé",IF(H41="","",IF(H41=0,"Dans le délai",IF(H41&lt;=7,"Rappel aimable",IF(H41&lt;=21,"Relance téléphonique","Visite · plus de nouveau crédit"))))))</f>
        <v/>
      </c>
    </row>
    <row r="42" customFormat="false" ht="15" hidden="false" customHeight="false" outlineLevel="0" collapsed="false">
      <c r="A42" s="7"/>
      <c r="B42" s="9"/>
      <c r="C42" s="16"/>
      <c r="D42" s="18"/>
      <c r="E42" s="21" t="str">
        <f aca="false">IF(C42="","",C42+IF(D42="",$D$4,D42))</f>
        <v/>
      </c>
      <c r="F42" s="9"/>
      <c r="G42" s="10" t="str">
        <f aca="false">IF(B42="","",B42-N(F42))</f>
        <v/>
      </c>
      <c r="H42" s="19" t="str">
        <f aca="false">IF(OR(E42="",$B$4="",G42=""),"",IF(G42&lt;=0,"",MAX(0,$B$4-E42)))</f>
        <v/>
      </c>
      <c r="I42" s="12" t="str">
        <f aca="false">IF(G42="","",IF(G42&lt;=0,"Payé",IF(H42="","",IF(H42=0,"Dans le délai",IF(H42&lt;=7,"Rappel aimable",IF(H42&lt;=21,"Relance téléphonique","Visite · plus de nouveau crédit"))))))</f>
        <v/>
      </c>
    </row>
    <row r="43" customFormat="false" ht="15" hidden="false" customHeight="false" outlineLevel="0" collapsed="false">
      <c r="A43" s="7"/>
      <c r="B43" s="9"/>
      <c r="C43" s="16"/>
      <c r="D43" s="18"/>
      <c r="E43" s="21" t="str">
        <f aca="false">IF(C43="","",C43+IF(D43="",$D$4,D43))</f>
        <v/>
      </c>
      <c r="F43" s="9"/>
      <c r="G43" s="10" t="str">
        <f aca="false">IF(B43="","",B43-N(F43))</f>
        <v/>
      </c>
      <c r="H43" s="19" t="str">
        <f aca="false">IF(OR(E43="",$B$4="",G43=""),"",IF(G43&lt;=0,"",MAX(0,$B$4-E43)))</f>
        <v/>
      </c>
      <c r="I43" s="12" t="str">
        <f aca="false">IF(G43="","",IF(G43&lt;=0,"Payé",IF(H43="","",IF(H43=0,"Dans le délai",IF(H43&lt;=7,"Rappel aimable",IF(H43&lt;=21,"Relance téléphonique","Visite · plus de nouveau crédit"))))))</f>
        <v/>
      </c>
    </row>
    <row r="44" customFormat="false" ht="15" hidden="false" customHeight="false" outlineLevel="0" collapsed="false">
      <c r="A44" s="7"/>
      <c r="B44" s="9"/>
      <c r="C44" s="16"/>
      <c r="D44" s="18"/>
      <c r="E44" s="21" t="str">
        <f aca="false">IF(C44="","",C44+IF(D44="",$D$4,D44))</f>
        <v/>
      </c>
      <c r="F44" s="9"/>
      <c r="G44" s="10" t="str">
        <f aca="false">IF(B44="","",B44-N(F44))</f>
        <v/>
      </c>
      <c r="H44" s="19" t="str">
        <f aca="false">IF(OR(E44="",$B$4="",G44=""),"",IF(G44&lt;=0,"",MAX(0,$B$4-E44)))</f>
        <v/>
      </c>
      <c r="I44" s="12" t="str">
        <f aca="false">IF(G44="","",IF(G44&lt;=0,"Payé",IF(H44="","",IF(H44=0,"Dans le délai",IF(H44&lt;=7,"Rappel aimable",IF(H44&lt;=21,"Relance téléphonique","Visite · plus de nouveau crédit"))))))</f>
        <v/>
      </c>
    </row>
    <row r="45" customFormat="false" ht="15" hidden="false" customHeight="false" outlineLevel="0" collapsed="false">
      <c r="A45" s="7"/>
      <c r="B45" s="9"/>
      <c r="C45" s="16"/>
      <c r="D45" s="18"/>
      <c r="E45" s="21" t="str">
        <f aca="false">IF(C45="","",C45+IF(D45="",$D$4,D45))</f>
        <v/>
      </c>
      <c r="F45" s="9"/>
      <c r="G45" s="10" t="str">
        <f aca="false">IF(B45="","",B45-N(F45))</f>
        <v/>
      </c>
      <c r="H45" s="19" t="str">
        <f aca="false">IF(OR(E45="",$B$4="",G45=""),"",IF(G45&lt;=0,"",MAX(0,$B$4-E45)))</f>
        <v/>
      </c>
      <c r="I45" s="12" t="str">
        <f aca="false">IF(G45="","",IF(G45&lt;=0,"Payé",IF(H45="","",IF(H45=0,"Dans le délai",IF(H45&lt;=7,"Rappel aimable",IF(H45&lt;=21,"Relance téléphonique","Visite · plus de nouveau crédit"))))))</f>
        <v/>
      </c>
    </row>
    <row r="46" customFormat="false" ht="15" hidden="false" customHeight="false" outlineLevel="0" collapsed="false">
      <c r="A46" s="7"/>
      <c r="B46" s="9"/>
      <c r="C46" s="16"/>
      <c r="D46" s="18"/>
      <c r="E46" s="21" t="str">
        <f aca="false">IF(C46="","",C46+IF(D46="",$D$4,D46))</f>
        <v/>
      </c>
      <c r="F46" s="9"/>
      <c r="G46" s="10" t="str">
        <f aca="false">IF(B46="","",B46-N(F46))</f>
        <v/>
      </c>
      <c r="H46" s="19" t="str">
        <f aca="false">IF(OR(E46="",$B$4="",G46=""),"",IF(G46&lt;=0,"",MAX(0,$B$4-E46)))</f>
        <v/>
      </c>
      <c r="I46" s="12" t="str">
        <f aca="false">IF(G46="","",IF(G46&lt;=0,"Payé",IF(H46="","",IF(H46=0,"Dans le délai",IF(H46&lt;=7,"Rappel aimable",IF(H46&lt;=21,"Relance téléphonique","Visite · plus de nouveau crédit"))))))</f>
        <v/>
      </c>
    </row>
    <row r="47" customFormat="false" ht="15" hidden="false" customHeight="false" outlineLevel="0" collapsed="false">
      <c r="A47" s="7"/>
      <c r="B47" s="9"/>
      <c r="C47" s="16"/>
      <c r="D47" s="18"/>
      <c r="E47" s="21" t="str">
        <f aca="false">IF(C47="","",C47+IF(D47="",$D$4,D47))</f>
        <v/>
      </c>
      <c r="F47" s="9"/>
      <c r="G47" s="10" t="str">
        <f aca="false">IF(B47="","",B47-N(F47))</f>
        <v/>
      </c>
      <c r="H47" s="19" t="str">
        <f aca="false">IF(OR(E47="",$B$4="",G47=""),"",IF(G47&lt;=0,"",MAX(0,$B$4-E47)))</f>
        <v/>
      </c>
      <c r="I47" s="12" t="str">
        <f aca="false">IF(G47="","",IF(G47&lt;=0,"Payé",IF(H47="","",IF(H47=0,"Dans le délai",IF(H47&lt;=7,"Rappel aimable",IF(H47&lt;=21,"Relance téléphonique","Visite · plus de nouveau crédit"))))))</f>
        <v/>
      </c>
    </row>
    <row r="49" customFormat="false" ht="15" hidden="false" customHeight="false" outlineLevel="0" collapsed="false">
      <c r="A49" s="13" t="s">
        <v>73</v>
      </c>
      <c r="B49" s="22" t="n">
        <f aca="false">SUM(G8:G47)</f>
        <v>0</v>
      </c>
    </row>
    <row r="50" customFormat="false" ht="15" hidden="false" customHeight="false" outlineLevel="0" collapsed="false">
      <c r="A50" s="4" t="s">
        <v>74</v>
      </c>
      <c r="B50" s="11" t="n">
        <f aca="false">SUMIF(H8:H47,"&gt;0",G8:G47)</f>
        <v>0</v>
      </c>
    </row>
    <row r="51" customFormat="false" ht="15" hidden="false" customHeight="false" outlineLevel="0" collapsed="false">
      <c r="A51" s="4" t="s">
        <v>75</v>
      </c>
      <c r="B51" s="11" t="n">
        <f aca="false">SUMIF(H8:H47,"&gt;21",G8:G47)</f>
        <v>0</v>
      </c>
    </row>
    <row r="53" customFormat="false" ht="30" hidden="false" customHeight="true" outlineLevel="0" collapsed="false">
      <c r="A53" s="6" t="s">
        <v>76</v>
      </c>
      <c r="B53" s="6"/>
      <c r="C53" s="6"/>
      <c r="D53" s="6"/>
      <c r="E53" s="6"/>
      <c r="F53" s="6"/>
      <c r="G53" s="6"/>
      <c r="H53" s="6"/>
      <c r="I53" s="6"/>
    </row>
  </sheetData>
  <mergeCells count="2">
    <mergeCell ref="A5:I5"/>
    <mergeCell ref="A53:I53"/>
  </mergeCells>
  <conditionalFormatting sqref="I8:I47">
    <cfRule type="expression" priority="2" aboveAverage="0" equalAverage="0" bottom="0" percent="0" rank="0" text="" dxfId="1">
      <formula>LEFT(I8,6)="Visite"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18.5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</row>
    <row r="6" customFormat="false" ht="30" hidden="false" customHeight="true" outlineLevel="0" collapsed="false">
      <c r="A6" s="3" t="s">
        <v>79</v>
      </c>
      <c r="B6" s="3" t="s">
        <v>80</v>
      </c>
      <c r="C6" s="3" t="s">
        <v>81</v>
      </c>
      <c r="D6" s="3" t="s">
        <v>82</v>
      </c>
      <c r="E6" s="3" t="s">
        <v>83</v>
      </c>
    </row>
    <row r="7" customFormat="false" ht="39.75" hidden="false" customHeight="true" outlineLevel="0" collapsed="false">
      <c r="A7" s="23"/>
      <c r="B7" s="23"/>
      <c r="C7" s="23"/>
      <c r="D7" s="24"/>
      <c r="E7" s="23"/>
    </row>
    <row r="8" customFormat="false" ht="39.75" hidden="false" customHeight="true" outlineLevel="0" collapsed="false">
      <c r="A8" s="23"/>
      <c r="B8" s="23"/>
      <c r="C8" s="23"/>
      <c r="D8" s="24"/>
      <c r="E8" s="23"/>
    </row>
    <row r="9" customFormat="false" ht="39.75" hidden="false" customHeight="true" outlineLevel="0" collapsed="false">
      <c r="A9" s="23"/>
      <c r="B9" s="23"/>
      <c r="C9" s="23"/>
      <c r="D9" s="24"/>
      <c r="E9" s="23"/>
    </row>
    <row r="10" customFormat="false" ht="39.75" hidden="false" customHeight="true" outlineLevel="0" collapsed="false">
      <c r="A10" s="23"/>
      <c r="B10" s="23"/>
      <c r="C10" s="23"/>
      <c r="D10" s="24"/>
      <c r="E10" s="23"/>
    </row>
    <row r="11" customFormat="false" ht="39.75" hidden="false" customHeight="true" outlineLevel="0" collapsed="false">
      <c r="A11" s="23"/>
      <c r="B11" s="23"/>
      <c r="C11" s="23"/>
      <c r="D11" s="24"/>
      <c r="E11" s="23"/>
    </row>
    <row r="12" customFormat="false" ht="39.75" hidden="false" customHeight="true" outlineLevel="0" collapsed="false">
      <c r="A12" s="23"/>
      <c r="B12" s="23"/>
      <c r="C12" s="23"/>
      <c r="D12" s="24"/>
      <c r="E12" s="23"/>
    </row>
    <row r="13" customFormat="false" ht="39.75" hidden="false" customHeight="true" outlineLevel="0" collapsed="false">
      <c r="A13" s="23"/>
      <c r="B13" s="23"/>
      <c r="C13" s="23"/>
      <c r="D13" s="24"/>
      <c r="E13" s="23"/>
    </row>
    <row r="14" customFormat="false" ht="39.75" hidden="false" customHeight="true" outlineLevel="0" collapsed="false">
      <c r="A14" s="23"/>
      <c r="B14" s="23"/>
      <c r="C14" s="23"/>
      <c r="D14" s="24"/>
      <c r="E14" s="23"/>
    </row>
    <row r="15" customFormat="false" ht="39.75" hidden="false" customHeight="true" outlineLevel="0" collapsed="false">
      <c r="A15" s="23"/>
      <c r="B15" s="23"/>
      <c r="C15" s="23"/>
      <c r="D15" s="24"/>
      <c r="E15" s="23"/>
    </row>
    <row r="16" customFormat="false" ht="39.75" hidden="false" customHeight="true" outlineLevel="0" collapsed="false">
      <c r="A16" s="23"/>
      <c r="B16" s="23"/>
      <c r="C16" s="23"/>
      <c r="D16" s="24"/>
      <c r="E16" s="23"/>
    </row>
    <row r="17" customFormat="false" ht="39.75" hidden="false" customHeight="true" outlineLevel="0" collapsed="false">
      <c r="A17" s="23"/>
      <c r="B17" s="23"/>
      <c r="C17" s="23"/>
      <c r="D17" s="24"/>
      <c r="E17" s="23"/>
    </row>
    <row r="18" customFormat="false" ht="39.75" hidden="false" customHeight="true" outlineLevel="0" collapsed="false">
      <c r="A18" s="23"/>
      <c r="B18" s="23"/>
      <c r="C18" s="23"/>
      <c r="D18" s="24"/>
      <c r="E18" s="23"/>
    </row>
    <row r="19" customFormat="false" ht="39.75" hidden="false" customHeight="true" outlineLevel="0" collapsed="false">
      <c r="A19" s="23"/>
      <c r="B19" s="23"/>
      <c r="C19" s="23"/>
      <c r="D19" s="24"/>
      <c r="E19" s="23"/>
    </row>
    <row r="20" customFormat="false" ht="39.75" hidden="false" customHeight="true" outlineLevel="0" collapsed="false">
      <c r="A20" s="23"/>
      <c r="B20" s="23"/>
      <c r="C20" s="23"/>
      <c r="D20" s="24"/>
      <c r="E20" s="23"/>
    </row>
    <row r="21" customFormat="false" ht="39.75" hidden="false" customHeight="true" outlineLevel="0" collapsed="false">
      <c r="A21" s="23"/>
      <c r="B21" s="23"/>
      <c r="C21" s="23"/>
      <c r="D21" s="24"/>
      <c r="E21" s="23"/>
    </row>
    <row r="23" customFormat="false" ht="30" hidden="false" customHeight="true" outlineLevel="0" collapsed="false">
      <c r="A23" s="6" t="s">
        <v>84</v>
      </c>
      <c r="B23" s="6"/>
      <c r="C23" s="6"/>
      <c r="D23" s="6"/>
      <c r="E23" s="6"/>
    </row>
  </sheetData>
  <mergeCells count="2">
    <mergeCell ref="A4:E4"/>
    <mergeCell ref="A23:E23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18.5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25" t="s">
        <v>87</v>
      </c>
      <c r="B4" s="25"/>
      <c r="C4" s="25"/>
      <c r="D4" s="25"/>
      <c r="E4" s="25"/>
      <c r="F4" s="25"/>
      <c r="G4" s="25"/>
      <c r="H4" s="25"/>
    </row>
    <row r="6" customFormat="false" ht="15" hidden="false" customHeight="false" outlineLevel="0" collapsed="false">
      <c r="A6" s="13" t="s">
        <v>88</v>
      </c>
      <c r="B6" s="13"/>
      <c r="C6" s="13"/>
      <c r="D6" s="13"/>
      <c r="E6" s="13"/>
      <c r="F6" s="13"/>
      <c r="G6" s="13"/>
      <c r="H6" s="13"/>
    </row>
    <row r="7" customFormat="false" ht="30" hidden="false" customHeight="true" outlineLevel="0" collapsed="false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</row>
    <row r="8" customFormat="false" ht="24" hidden="false" customHeight="true" outlineLevel="0" collapsed="false">
      <c r="A8" s="7" t="s">
        <v>89</v>
      </c>
      <c r="B8" s="8" t="n">
        <v>40</v>
      </c>
      <c r="C8" s="9" t="n">
        <v>500</v>
      </c>
      <c r="D8" s="9" t="n">
        <v>300</v>
      </c>
      <c r="E8" s="10" t="n">
        <f aca="false">IF(OR(C8="",D8=""),"",C8-D8)</f>
        <v>200</v>
      </c>
      <c r="F8" s="9" t="n">
        <v>0</v>
      </c>
      <c r="G8" s="11" t="n">
        <f aca="false">IF(OR(B8="",E8=""),"",B8*E8-N(F8))</f>
        <v>8000</v>
      </c>
      <c r="H8" s="7" t="s">
        <v>90</v>
      </c>
    </row>
    <row r="9" customFormat="false" ht="24" hidden="false" customHeight="true" outlineLevel="0" collapsed="false">
      <c r="A9" s="7" t="s">
        <v>91</v>
      </c>
      <c r="B9" s="8" t="n">
        <v>120</v>
      </c>
      <c r="C9" s="9" t="n">
        <v>400</v>
      </c>
      <c r="D9" s="9" t="n">
        <v>300</v>
      </c>
      <c r="E9" s="10" t="n">
        <f aca="false">IF(OR(C9="",D9=""),"",C9-D9)</f>
        <v>100</v>
      </c>
      <c r="F9" s="9" t="n">
        <v>2000</v>
      </c>
      <c r="G9" s="11" t="n">
        <f aca="false">IF(OR(B9="",E9=""),"",B9*E9-N(F9))</f>
        <v>10000</v>
      </c>
      <c r="H9" s="7" t="s">
        <v>92</v>
      </c>
    </row>
    <row r="10" customFormat="false" ht="24" hidden="false" customHeight="true" outlineLevel="0" collapsed="false">
      <c r="A10" s="7" t="s">
        <v>93</v>
      </c>
      <c r="B10" s="8" t="n">
        <v>80</v>
      </c>
      <c r="C10" s="9" t="n">
        <v>450</v>
      </c>
      <c r="D10" s="9" t="n">
        <v>300</v>
      </c>
      <c r="E10" s="10" t="n">
        <f aca="false">IF(OR(C10="",D10=""),"",C10-D10)</f>
        <v>150</v>
      </c>
      <c r="F10" s="9" t="n">
        <v>0</v>
      </c>
      <c r="G10" s="11" t="n">
        <f aca="false">IF(OR(B10="",E10=""),"",B10*E10-N(F10))</f>
        <v>12000</v>
      </c>
      <c r="H10" s="7" t="s">
        <v>94</v>
      </c>
    </row>
    <row r="11" customFormat="false" ht="24" hidden="false" customHeight="true" outlineLevel="0" collapsed="false">
      <c r="A11" s="7"/>
      <c r="B11" s="8"/>
      <c r="C11" s="9"/>
      <c r="D11" s="9"/>
      <c r="E11" s="10" t="str">
        <f aca="false">IF(OR(C11="",D11=""),"",C11-D11)</f>
        <v/>
      </c>
      <c r="F11" s="9"/>
      <c r="G11" s="11" t="str">
        <f aca="false">IF(OR(B11="",E11=""),"",B11*E11-N(F11))</f>
        <v/>
      </c>
      <c r="H11" s="7"/>
    </row>
    <row r="12" customFormat="false" ht="24" hidden="false" customHeight="true" outlineLevel="0" collapsed="false">
      <c r="A12" s="7"/>
      <c r="B12" s="8"/>
      <c r="C12" s="9"/>
      <c r="D12" s="9"/>
      <c r="E12" s="10" t="str">
        <f aca="false">IF(OR(C12="",D12=""),"",C12-D12)</f>
        <v/>
      </c>
      <c r="F12" s="9"/>
      <c r="G12" s="11" t="str">
        <f aca="false">IF(OR(B12="",E12=""),"",B12*E12-N(F12))</f>
        <v/>
      </c>
      <c r="H12" s="7"/>
    </row>
    <row r="14" customFormat="false" ht="15" hidden="false" customHeight="false" outlineLevel="0" collapsed="false">
      <c r="A14" s="13" t="s">
        <v>95</v>
      </c>
      <c r="B14" s="13"/>
      <c r="C14" s="13"/>
      <c r="D14" s="13"/>
      <c r="E14" s="13"/>
      <c r="F14" s="13"/>
      <c r="G14" s="13"/>
      <c r="H14" s="13"/>
    </row>
    <row r="15" customFormat="false" ht="30" hidden="false" customHeight="true" outlineLevel="0" collapsed="false">
      <c r="A15" s="3" t="s">
        <v>64</v>
      </c>
      <c r="B15" s="3" t="s">
        <v>96</v>
      </c>
      <c r="C15" s="3" t="s">
        <v>66</v>
      </c>
      <c r="D15" s="3" t="s">
        <v>68</v>
      </c>
      <c r="E15" s="3" t="s">
        <v>71</v>
      </c>
      <c r="F15" s="3" t="s">
        <v>72</v>
      </c>
      <c r="G15" s="15" t="s">
        <v>49</v>
      </c>
      <c r="H15" s="26" t="n">
        <v>46356</v>
      </c>
    </row>
    <row r="16" customFormat="false" ht="15" hidden="false" customHeight="false" outlineLevel="0" collapsed="false">
      <c r="A16" s="27" t="s">
        <v>97</v>
      </c>
      <c r="B16" s="9" t="n">
        <v>30000</v>
      </c>
      <c r="C16" s="16" t="n">
        <v>46296</v>
      </c>
      <c r="D16" s="21" t="n">
        <f aca="false">C16+15</f>
        <v>46311</v>
      </c>
      <c r="E16" s="19" t="n">
        <f aca="false">MAX(0,$H$15-D16)</f>
        <v>45</v>
      </c>
      <c r="F16" s="12" t="str">
        <f aca="false">IF(E16=0,"Dans le délai",IF(E16&lt;=7,"Rappel aimable",IF(E16&lt;=21,"Relance téléphonique","Visite · plus de nouveau crédit")))</f>
        <v>Visite · plus de nouveau crédit</v>
      </c>
      <c r="G16" s="12"/>
      <c r="H16" s="12"/>
    </row>
    <row r="17" customFormat="false" ht="15" hidden="false" customHeight="false" outlineLevel="0" collapsed="false">
      <c r="A17" s="27" t="s">
        <v>98</v>
      </c>
      <c r="B17" s="9" t="n">
        <v>18000</v>
      </c>
      <c r="C17" s="16" t="n">
        <v>46315</v>
      </c>
      <c r="D17" s="21" t="n">
        <f aca="false">C17+15</f>
        <v>46330</v>
      </c>
      <c r="E17" s="19" t="n">
        <f aca="false">MAX(0,$H$15-D17)</f>
        <v>26</v>
      </c>
      <c r="F17" s="12" t="str">
        <f aca="false">IF(E17=0,"Dans le délai",IF(E17&lt;=7,"Rappel aimable",IF(E17&lt;=21,"Relance téléphonique","Visite · plus de nouveau crédit")))</f>
        <v>Visite · plus de nouveau crédit</v>
      </c>
      <c r="G17" s="12"/>
      <c r="H17" s="12"/>
    </row>
    <row r="18" customFormat="false" ht="15" hidden="false" customHeight="false" outlineLevel="0" collapsed="false">
      <c r="A18" s="27" t="s">
        <v>99</v>
      </c>
      <c r="B18" s="9" t="n">
        <v>24000</v>
      </c>
      <c r="C18" s="16" t="n">
        <v>46331</v>
      </c>
      <c r="D18" s="21" t="n">
        <f aca="false">C18+15</f>
        <v>46346</v>
      </c>
      <c r="E18" s="19" t="n">
        <f aca="false">MAX(0,$H$15-D18)</f>
        <v>10</v>
      </c>
      <c r="F18" s="12" t="str">
        <f aca="false">IF(E18=0,"Dans le délai",IF(E18&lt;=7,"Rappel aimable",IF(E18&lt;=21,"Relance téléphonique","Visite · plus de nouveau crédit")))</f>
        <v>Relance téléphonique</v>
      </c>
      <c r="G18" s="12"/>
      <c r="H18" s="12"/>
    </row>
    <row r="19" customFormat="false" ht="15" hidden="false" customHeight="false" outlineLevel="0" collapsed="false">
      <c r="A19" s="27" t="s">
        <v>100</v>
      </c>
      <c r="B19" s="9" t="n">
        <v>36000</v>
      </c>
      <c r="C19" s="16" t="n">
        <v>46338</v>
      </c>
      <c r="D19" s="21" t="n">
        <f aca="false">C19+15</f>
        <v>46353</v>
      </c>
      <c r="E19" s="19" t="n">
        <f aca="false">MAX(0,$H$15-D19)</f>
        <v>3</v>
      </c>
      <c r="F19" s="12" t="str">
        <f aca="false">IF(E19=0,"Dans le délai",IF(E19&lt;=7,"Rappel aimable",IF(E19&lt;=21,"Relance téléphonique","Visite · plus de nouveau crédit")))</f>
        <v>Rappel aimable</v>
      </c>
      <c r="G19" s="12"/>
      <c r="H19" s="12"/>
    </row>
    <row r="20" customFormat="false" ht="15" hidden="false" customHeight="false" outlineLevel="0" collapsed="false">
      <c r="A20" s="27" t="s">
        <v>101</v>
      </c>
      <c r="B20" s="9" t="n">
        <v>26000</v>
      </c>
      <c r="C20" s="16" t="n">
        <v>46341</v>
      </c>
      <c r="D20" s="21" t="n">
        <f aca="false">C20+15</f>
        <v>46356</v>
      </c>
      <c r="E20" s="19" t="n">
        <f aca="false">MAX(0,$H$15-D20)</f>
        <v>0</v>
      </c>
      <c r="F20" s="12" t="str">
        <f aca="false">IF(E20=0,"Dans le délai",IF(E20&lt;=7,"Rappel aimable",IF(E20&lt;=21,"Relance téléphonique","Visite · plus de nouveau crédit")))</f>
        <v>Dans le délai</v>
      </c>
      <c r="G20" s="12"/>
      <c r="H20" s="12"/>
    </row>
    <row r="21" customFormat="false" ht="15" hidden="false" customHeight="false" outlineLevel="0" collapsed="false">
      <c r="A21" s="27" t="s">
        <v>102</v>
      </c>
      <c r="B21" s="9" t="n">
        <v>48000</v>
      </c>
      <c r="C21" s="16" t="n">
        <v>46351</v>
      </c>
      <c r="D21" s="21" t="n">
        <f aca="false">C21+15</f>
        <v>46366</v>
      </c>
      <c r="E21" s="19" t="n">
        <f aca="false">MAX(0,$H$15-D21)</f>
        <v>0</v>
      </c>
      <c r="F21" s="12" t="str">
        <f aca="false">IF(E21=0,"Dans le délai",IF(E21&lt;=7,"Rappel aimable",IF(E21&lt;=21,"Relance téléphonique","Visite · plus de nouveau crédit")))</f>
        <v>Dans le délai</v>
      </c>
      <c r="G21" s="12"/>
      <c r="H21" s="12"/>
    </row>
    <row r="22" customFormat="false" ht="15" hidden="false" customHeight="false" outlineLevel="0" collapsed="false">
      <c r="A22" s="13" t="s">
        <v>103</v>
      </c>
      <c r="B22" s="22" t="n">
        <f aca="false">SUM(B16:B21)</f>
        <v>182000</v>
      </c>
    </row>
    <row r="23" customFormat="false" ht="15" hidden="false" customHeight="false" outlineLevel="0" collapsed="false">
      <c r="A23" s="4" t="s">
        <v>74</v>
      </c>
      <c r="B23" s="11" t="n">
        <f aca="false">SUMIF(E16:E21,"&gt;0",B16:B21)</f>
        <v>108000</v>
      </c>
    </row>
    <row r="24" customFormat="false" ht="15" hidden="false" customHeight="false" outlineLevel="0" collapsed="false">
      <c r="A24" s="4" t="s">
        <v>75</v>
      </c>
      <c r="B24" s="11" t="n">
        <f aca="false">SUMIF(E16:E21,"&gt;21",B16:B21)</f>
        <v>48000</v>
      </c>
    </row>
    <row r="25" customFormat="false" ht="27.75" hidden="false" customHeight="true" outlineLevel="0" collapsed="false">
      <c r="A25" s="5" t="s">
        <v>104</v>
      </c>
      <c r="B25" s="10" t="n">
        <f aca="false">120*400*52/12</f>
        <v>208000</v>
      </c>
    </row>
  </sheetData>
  <mergeCells count="9">
    <mergeCell ref="A4:H4"/>
    <mergeCell ref="A6:H6"/>
    <mergeCell ref="A14:H14"/>
    <mergeCell ref="F16:H16"/>
    <mergeCell ref="F17:H17"/>
    <mergeCell ref="F18:H18"/>
    <mergeCell ref="F19:H19"/>
    <mergeCell ref="F20:H20"/>
    <mergeCell ref="F21:H21"/>
  </mergeCells>
  <conditionalFormatting sqref="F16:F21">
    <cfRule type="expression" priority="2" aboveAverage="0" equalAverage="0" bottom="0" percent="0" rank="0" text="" dxfId="2">
      <formula>LEFT(F16,6)="Visite"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2026-10-30T12:28:55Z</dcterms:created>
  <dc:creator>openpyxl</dc:creator>
  <dc:description/>
  <dc:language>en-US</dc:language>
  <cp:lastModifiedBy/>
  <dcterms:modified xsi:type="dcterms:W3CDTF">2026-10-30T12:28:55Z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