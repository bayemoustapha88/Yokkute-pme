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_d_emploi" sheetId="1" state="visible" r:id="rId3"/>
    <sheet name="Registre_mensuel" sheetId="2" state="visible" r:id="rId4"/>
    <sheet name="Recap_annuel" sheetId="3" state="visible" r:id="rId5"/>
    <sheet name="Declaration_CGU" sheetId="4" state="visible" r:id="rId6"/>
    <sheet name="Classement_pieces" sheetId="5" state="visible" r:id="rId7"/>
    <sheet name="Calendrier_fiscal" sheetId="6" state="visible" r:id="rId8"/>
    <sheet name="Cas_Ousma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<sst xmlns="http://schemas.openxmlformats.org/spreadsheetml/2006/main" count="198" uniqueCount="153">
  <si>
    <t xml:space="preserve">MC7 · Tenir ses comptes et payer le juste impôt</t>
  </si>
  <si>
    <t xml:space="preserve">Outils participants · Volet Formalisation U2, U3 et module M6 · CADE / CCIAK</t>
  </si>
  <si>
    <t xml:space="preserve">Onglet</t>
  </si>
  <si>
    <t xml:space="preserve">Usage</t>
  </si>
  <si>
    <t xml:space="preserve">Registre_mensuel</t>
  </si>
  <si>
    <t xml:space="preserve">Chaque recette et chaque dépense du mois, avec son numéro de pièce et sa catégorie ; totaux et solde calculés.</t>
  </si>
  <si>
    <t xml:space="preserve">Recap_annuel</t>
  </si>
  <si>
    <t xml:space="preserve">Les totaux des douze mois ; chiffre d'affaires, achats et dépenses de l'année.</t>
  </si>
  <si>
    <t xml:space="preserve">Declaration_CGU</t>
  </si>
  <si>
    <t xml:space="preserve">Préparer les rubriques de la déclaration annuelle, contrôler la marge, estimer la CGU avec le taux confirmé par le centre des services fiscaux.</t>
  </si>
  <si>
    <t xml:space="preserve">Classement_pieces</t>
  </si>
  <si>
    <t xml:space="preserve">Liste de contrôle des pièces à garder et du classement mensuel.</t>
  </si>
  <si>
    <t xml:space="preserve">Calendrier_fiscal</t>
  </si>
  <si>
    <t xml:space="preserve">Mes échéances de l'année, datées ; les retards sont signalés.</t>
  </si>
  <si>
    <t xml:space="preserve">Cas_Ousmane</t>
  </si>
  <si>
    <t xml:space="preserve">Le cas pratique de la séance, avec son corrigé chiffré.</t>
  </si>
  <si>
    <t xml:space="preserve">Cellules jaunes à texte bleu : à remplir. Les plafonds, taux et minimum de la CGU changent avec les lois de finances et les sources publiées divergent : utilisez uniquement les valeurs confirmées par le centre des services fiscaux (CSF) de Kaolack.</t>
  </si>
  <si>
    <t xml:space="preserve">Registre mensuel des recettes et des dépenses</t>
  </si>
  <si>
    <t xml:space="preserve">Une ligne par opération, une pièce par ligne, le même numéro sur la pièce et dans le registre</t>
  </si>
  <si>
    <t xml:space="preserve">Mois</t>
  </si>
  <si>
    <t xml:space="preserve">Solde de caisse au début du mois</t>
  </si>
  <si>
    <t xml:space="preserve">Cellules jaunes à texte bleu : à remplir. Cellules blanches : calculées automatiquement, ne pas modifier.</t>
  </si>
  <si>
    <t xml:space="preserve">Date</t>
  </si>
  <si>
    <t xml:space="preserve">N° pièce</t>
  </si>
  <si>
    <t xml:space="preserve">Libellé</t>
  </si>
  <si>
    <t xml:space="preserve">Catégorie</t>
  </si>
  <si>
    <t xml:space="preserve">Recette (FCFA)</t>
  </si>
  <si>
    <t xml:space="preserve">Dépense (FCFA)</t>
  </si>
  <si>
    <t xml:space="preserve">Solde (FCFA)</t>
  </si>
  <si>
    <t xml:space="preserve">V-001</t>
  </si>
  <si>
    <t xml:space="preserve">Exemple : vente comptoir, facture n° 001</t>
  </si>
  <si>
    <t xml:space="preserve">Vente</t>
  </si>
  <si>
    <t xml:space="preserve">Totaux du mois</t>
  </si>
  <si>
    <t xml:space="preserve">Récapitulatif du mois par catégorie</t>
  </si>
  <si>
    <t xml:space="preserve">Recettes</t>
  </si>
  <si>
    <t xml:space="preserve">Dépenses</t>
  </si>
  <si>
    <t xml:space="preserve">Achat de marchandises</t>
  </si>
  <si>
    <t xml:space="preserve">Loyer professionnel</t>
  </si>
  <si>
    <t xml:space="preserve">Salaires</t>
  </si>
  <si>
    <t xml:space="preserve">Transport</t>
  </si>
  <si>
    <t xml:space="preserve">Autre dépense professionnelle</t>
  </si>
  <si>
    <t xml:space="preserve">Apport personnel</t>
  </si>
  <si>
    <t xml:space="preserve">Retrait personnel</t>
  </si>
  <si>
    <t xml:space="preserve">Solde de caisse compté en fin de mois</t>
  </si>
  <si>
    <t xml:space="preserve">Écart : compté moins registre (à expliquer s'il n'est pas nul)</t>
  </si>
  <si>
    <t xml:space="preserve">Récapitulatif vérifié et signé le</t>
  </si>
  <si>
    <t xml:space="preserve">Récapitulatif annuel</t>
  </si>
  <si>
    <t xml:space="preserve">Reporter chaque mois les totaux par catégorie du registre mensuel</t>
  </si>
  <si>
    <t xml:space="preserve">Année</t>
  </si>
  <si>
    <t xml:space="preserve">Ventes</t>
  </si>
  <si>
    <t xml:space="preserve">Achats de marchandises</t>
  </si>
  <si>
    <t xml:space="preserve">Autres dépenses professionnelles</t>
  </si>
  <si>
    <t xml:space="preserve">Retraits personnels</t>
  </si>
  <si>
    <t xml:space="preserve">Résultat de trésorerie du mois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</si>
  <si>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</si>
  <si>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</si>
  <si>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</si>
  <si>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</si>
  <si>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</si>
  <si>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</si>
  <si>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</si>
  <si>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</si>
  <si>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</si>
  <si>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</si>
  <si>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</si>
  <si>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</si>
  <si>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Stock au 1er janvier (prix d'achat)</t>
  </si>
  <si>
    <t xml:space="preserve">Stock au 31 décembre (prix d'achat)</t>
  </si>
  <si>
    <t xml:space="preserve">Marge brute de l'année</t>
  </si>
  <si>
    <t xml:space="preserve">Taux de marge brute</t>
  </si>
  <si>
    <t xml:space="preserve">Les retraits personnels ne sont pas des charges de l'entreprise : ils n'entrent pas dans le résultat. Les achats faits pour la famille ne doivent jamais figurer en achats de marchandises.</t>
  </si>
  <si>
    <t xml:space="preserve">Préparation de la déclaration CGU</t>
  </si>
  <si>
    <t xml:space="preserve">À déposer au centre des services fiscaux avant le 1er février</t>
  </si>
  <si>
    <t xml:space="preserve">Rubrique de la déclaration</t>
  </si>
  <si>
    <t xml:space="preserve">Montant</t>
  </si>
  <si>
    <t xml:space="preserve">Chiffre d'affaires de l'année (ventes)</t>
  </si>
  <si>
    <t xml:space="preserve">Achats de marchandises de l'année</t>
  </si>
  <si>
    <t xml:space="preserve">Loyer professionnel de l'année</t>
  </si>
  <si>
    <t xml:space="preserve">Loyer privé de l'année</t>
  </si>
  <si>
    <t xml:space="preserve">Véhicules utilitaires ou de tourisme (nombre)</t>
  </si>
  <si>
    <t xml:space="preserve">Puissance des véhicules (chevaux fiscaux, carte grise)</t>
  </si>
  <si>
    <t xml:space="preserve">Contrôle de cohérence</t>
  </si>
  <si>
    <t xml:space="preserve">Coût des marchandises vendues : stock début + achats − stock fin</t>
  </si>
  <si>
    <t xml:space="preserve">Marge brute</t>
  </si>
  <si>
    <t xml:space="preserve">Alerte</t>
  </si>
  <si>
    <t xml:space="preserve">Estimation de la CGU (valeurs à obtenir auprès du CSF)</t>
  </si>
  <si>
    <t xml:space="preserve">Plafond de chiffre d'affaires applicable à mon activité</t>
  </si>
  <si>
    <t xml:space="preserve">Taux applicable à mon activité</t>
  </si>
  <si>
    <t xml:space="preserve">Minimum de paiement</t>
  </si>
  <si>
    <t xml:space="preserve">Marge restante sous le plafond</t>
  </si>
  <si>
    <t xml:space="preserve">CGU estimée</t>
  </si>
  <si>
    <t xml:space="preserve">Exemple rempli : voir l'onglet Cas_Ousmane. Cette fiche prépare la déclaration ; seul le formulaire du CSF fait foi. Si la marge restante sous le plafond devient faible, demandez conseil au CSF ou à un comptable sur le passage au régime du réel.</t>
  </si>
  <si>
    <t xml:space="preserve">Classement des pièces</t>
  </si>
  <si>
    <t xml:space="preserve">Une chemise par mois, deux compartiments : ventes et dépenses</t>
  </si>
  <si>
    <t xml:space="preserve">Point de contrôle</t>
  </si>
  <si>
    <t xml:space="preserve">Fait ?</t>
  </si>
  <si>
    <t xml:space="preserve">Une chemise ou une boîte par mois, étiquetée</t>
  </si>
  <si>
    <t xml:space="preserve">Compartiment « ventes » : doubles de factures, reçus remis aux clients</t>
  </si>
  <si>
    <t xml:space="preserve">Compartiment « dépenses » : factures d'achat, reçus fournisseurs, quittances de loyer</t>
  </si>
  <si>
    <t xml:space="preserve">Relevés de mobile money et de banque du mois</t>
  </si>
  <si>
    <t xml:space="preserve">Chaque pièce porte le numéro de sa ligne dans le registre</t>
  </si>
  <si>
    <t xml:space="preserve">Les achats sans facture ont un reçu, même manuscrit</t>
  </si>
  <si>
    <t xml:space="preserve">Aucun papier personnel ou familial dans les chemises</t>
  </si>
  <si>
    <t xml:space="preserve">Récapitulatif mensuel signé, rangé en tête de la chemise</t>
  </si>
  <si>
    <t xml:space="preserve">Inventaire du stock au 31 décembre, signé</t>
  </si>
  <si>
    <t xml:space="preserve">Déclaration CGU et quittance de paiement de l'année</t>
  </si>
  <si>
    <t xml:space="preserve">Pièces conservées au moins dix ans (durée à confirmer), à l'abri de l'eau</t>
  </si>
  <si>
    <t xml:space="preserve">Points en ordre</t>
  </si>
  <si>
    <t xml:space="preserve">Mon calendrier fiscal</t>
  </si>
  <si>
    <t xml:space="preserve">Échéances de l'année · dates à confirmer auprès du CSF et, pour l'emploi, de l'IPRES et de la CSS</t>
  </si>
  <si>
    <t xml:space="preserve">Entreprise</t>
  </si>
  <si>
    <t xml:space="preserve">N°</t>
  </si>
  <si>
    <t xml:space="preserve">Échéance</t>
  </si>
  <si>
    <t xml:space="preserve">Date limite</t>
  </si>
  <si>
    <t xml:space="preserve">Date réalisée</t>
  </si>
  <si>
    <t xml:space="preserve">Statut</t>
  </si>
  <si>
    <t xml:space="preserve">Remarque</t>
  </si>
  <si>
    <t xml:space="preserve">Récapitulatif mensuel du registre (chaque fin de mois)</t>
  </si>
  <si>
    <t xml:space="preserve">Inventaire du stock au prix d'achat</t>
  </si>
  <si>
    <t xml:space="preserve">Dépôt de la déclaration CGU au CSF (avant le 1er février)</t>
  </si>
  <si>
    <t xml:space="preserve">Paiement de la CGU, selon l'avis du CSF</t>
  </si>
  <si>
    <t xml:space="preserve">Si option pour le réel : notification avant le 31 janvier (choix définitif)</t>
  </si>
  <si>
    <t xml:space="preserve">Déclarations sociales et retenues sur salaires, si j'emploie du personnel (MC8)</t>
  </si>
  <si>
    <t xml:space="preserve">Rendez-vous de suivi avec le conseiller CADE</t>
  </si>
  <si>
    <t xml:space="preserve">Cas pratique · Ousmane, quincaillier au marché central</t>
  </si>
  <si>
    <t xml:space="preserve">Énoncé et corrigé chiffré</t>
  </si>
  <si>
    <t xml:space="preserve">Ousmane, immatriculé en entreprise individuelle l'an dernier, reçoit en janvier un rappel du CSF : sa déclaration CGU est due avant le 1er février. Il pense vendre « environ 100 000 FCFA par jour ». Depuis MC1, il tient un cahier qu'il récapitule chaque mois.</t>
  </si>
  <si>
    <t xml:space="preserve">Partie A · Quel est son vrai chiffre d'affaires ?</t>
  </si>
  <si>
    <t xml:space="preserve">Ventes du cahier (FCFA)</t>
  </si>
  <si>
    <t xml:space="preserve">Chiffre d'affaires selon le cahier</t>
  </si>
  <si>
    <t xml:space="preserve">Estimation d'Ousmane : ventes par jour</t>
  </si>
  <si>
    <t xml:space="preserve">Jours ouvrés par mois</t>
  </si>
  <si>
    <t xml:space="preserve">Chiffre d'affaires selon l'estimation</t>
  </si>
  <si>
    <t xml:space="preserve">Écart : estimation moins cahier</t>
  </si>
  <si>
    <t xml:space="preserve">Partie B · Préparer la déclaration (chiffres bruts d'Ousmane)</t>
  </si>
  <si>
    <t xml:space="preserve">à relever</t>
  </si>
  <si>
    <t xml:space="preserve">Le taux de 2 % est celui qu'indique une source publiée pour le commerce, à titre d'illustration seulement : remplacez-le par le taux confirmé par le CSF, et saisissez le plafond et le minimum.</t>
  </si>
  <si>
    <t xml:space="preserve">Partie C · Les anomalies et la correction</t>
  </si>
  <si>
    <t xml:space="preserve">Anomalie</t>
  </si>
  <si>
    <t xml:space="preserve">Montant (FCFA)</t>
  </si>
  <si>
    <t xml:space="preserve">Correction</t>
  </si>
  <si>
    <t xml:space="preserve">Ciment pour sa maison compté en achats</t>
  </si>
  <si>
    <t xml:space="preserve">Dépense personnelle : à retirer des achats</t>
  </si>
  <si>
    <t xml:space="preserve">Paiement en espèces à un grossiste, sans reçu</t>
  </si>
  <si>
    <t xml:space="preserve">Obtenir une facture ou un reçu daté du grossiste</t>
  </si>
  <si>
    <t xml:space="preserve">Factures de mars et avril en vrac</t>
  </si>
  <si>
    <t xml:space="preserve">Classer par mois, numéroter, rapprocher du cahier</t>
  </si>
  <si>
    <t xml:space="preserve">Achats corrigés</t>
  </si>
  <si>
    <t xml:space="preserve">Coût des marchandises vendues corrigé</t>
  </si>
  <si>
    <t xml:space="preserve">Marge brute corrigée</t>
  </si>
  <si>
    <t xml:space="preserve">Taux de marge brute corrigé</t>
  </si>
  <si>
    <t xml:space="preserve">CGU illustrative sur le chiffre d'affaires du cahier</t>
  </si>
  <si>
    <t xml:space="preserve">CGU illustrative sur l'estimation d'Ousmane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</si>
</sst>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m\ yyyy"/>
    <numFmt numFmtId="166" formatCode="#,##0;\-#,##0;\-"/>
    <numFmt numFmtId="167" formatCode="dd/mm/yyyy"/>
    <numFmt numFmtId="168" formatCode="0"/>
    <numFmt numFmtId="169" formatCode="0.0%"/>
    <numFmt numFmtId="170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42C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7342C"/>
      <name val="Arial"/>
      <family val="0"/>
      <charset val="1"/>
    </font>
    <font>
      <sz val="10"/>
      <color rgb="FF18241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42C"/>
        <bgColor rgb="FF18241F"/>
      </patternFill>
    </fill>
    <fill>
      <patternFill patternType="solid">
        <fgColor rgb="FFEAEEE8"/>
        <bgColor rgb="FFE5F4E4"/>
      </patternFill>
    </fill>
    <fill>
      <patternFill patternType="solid">
        <fgColor rgb="FFFFF6DC"/>
        <bgColor rgb="FFFBEBEB"/>
      </patternFill>
    </fill>
    <fill>
      <patternFill patternType="solid">
        <fgColor rgb="FFF6E7D2"/>
        <bgColor rgb="FFFBE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C"/>
      </left>
      <right style="thin">
        <color rgb="FFB7C2BC"/>
      </right>
      <top style="thin">
        <color rgb="FFB7C2BC"/>
      </top>
      <bottom style="thin">
        <color rgb="FFB7C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BEBEB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5F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C2BC"/>
      <rgbColor rgb="FF808080"/>
      <rgbColor rgb="FF9999FF"/>
      <rgbColor rgb="FF993366"/>
      <rgbColor rgb="FFFFF6DC"/>
      <rgbColor rgb="FFEA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BEB"/>
      <rgbColor rgb="FFE5F4E4"/>
      <rgbColor rgb="FFF6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55F"/>
      <rgbColor rgb="FF969696"/>
      <rgbColor rgb="FF003366"/>
      <rgbColor rgb="FF339966"/>
      <rgbColor rgb="FF18241F"/>
      <rgbColor rgb="FF006100"/>
      <rgbColor rgb="FF993300"/>
      <rgbColor rgb="FF993366"/>
      <rgbColor rgb="FF333399"/>
      <rgbColor rgb="FF17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0" hidden="false" customHeight="true" outlineLevel="0" collapsed="false">
      <c r="A5" s="3" t="s">
        <v>2</v>
      </c>
      <c r="B5" s="3" t="s">
        <v>3</v>
      </c>
    </row>
    <row r="6" customFormat="false" ht="30" hidden="false" customHeight="true" outlineLevel="0" collapsed="false">
      <c r="A6" s="4" t="s">
        <v>4</v>
      </c>
      <c r="B6" s="5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</row>
    <row r="8" customFormat="false" ht="30" hidden="false" customHeight="true" outlineLevel="0" collapsed="false">
      <c r="A8" s="4" t="s">
        <v>8</v>
      </c>
      <c r="B8" s="5" t="s">
        <v>9</v>
      </c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1" customFormat="false" ht="30" hidden="false" customHeight="true" outlineLevel="0" collapsed="false">
      <c r="A11" s="4" t="s">
        <v>14</v>
      </c>
      <c r="B11" s="5" t="s">
        <v>15</v>
      </c>
    </row>
    <row r="13" customFormat="false" ht="42" hidden="false" customHeight="true" outlineLevel="0" collapsed="false">
      <c r="A13" s="6" t="s">
        <v>16</v>
      </c>
      <c r="B13" s="6"/>
    </row>
  </sheetData>
  <mergeCells count="1">
    <mergeCell ref="A13:B13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7" min="5" style="0" width="14"/>
  </cols>
  <sheetData>
    <row r="1" customFormat="false" ht="18.5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7" t="s">
        <v>19</v>
      </c>
      <c r="B4" s="8"/>
      <c r="C4" s="8"/>
      <c r="D4" s="7" t="s">
        <v>20</v>
      </c>
      <c r="E4" s="9"/>
    </row>
    <row r="5" customFormat="false" ht="15" hidden="false" customHeight="true" outlineLevel="0" collapsed="false">
      <c r="A5" s="6" t="s">
        <v>21</v>
      </c>
      <c r="B5" s="6"/>
      <c r="C5" s="6"/>
      <c r="D5" s="6"/>
      <c r="E5" s="6"/>
      <c r="F5" s="6"/>
      <c r="G5" s="6"/>
    </row>
    <row r="7" customFormat="false" ht="30" hidden="false" customHeight="true" outlineLevel="0" collapsed="false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</row>
    <row r="8" customFormat="false" ht="15" hidden="false" customHeight="false" outlineLevel="0" collapsed="false">
      <c r="A8" s="10" t="n">
        <v>46328</v>
      </c>
      <c r="B8" s="11" t="s">
        <v>29</v>
      </c>
      <c r="C8" s="11" t="s">
        <v>30</v>
      </c>
      <c r="D8" s="11" t="s">
        <v>31</v>
      </c>
      <c r="E8" s="9" t="n">
        <v>45000</v>
      </c>
      <c r="F8" s="9"/>
      <c r="G8" s="12" t="n">
        <f aca="false">$E$4+E8-F8</f>
        <v>45000</v>
      </c>
    </row>
    <row r="9" customFormat="false" ht="15" hidden="false" customHeight="false" outlineLevel="0" collapsed="false">
      <c r="A9" s="10"/>
      <c r="B9" s="11"/>
      <c r="C9" s="11"/>
      <c r="D9" s="11"/>
      <c r="E9" s="9"/>
      <c r="F9" s="9"/>
      <c r="G9" s="12" t="n">
        <f aca="false">G8+E9-F9</f>
        <v>45000</v>
      </c>
    </row>
    <row r="10" customFormat="false" ht="15" hidden="false" customHeight="false" outlineLevel="0" collapsed="false">
      <c r="A10" s="10"/>
      <c r="B10" s="11"/>
      <c r="C10" s="11"/>
      <c r="D10" s="11"/>
      <c r="E10" s="9"/>
      <c r="F10" s="9"/>
      <c r="G10" s="12" t="n">
        <f aca="false">G9+E10-F10</f>
        <v>45000</v>
      </c>
    </row>
    <row r="11" customFormat="false" ht="15" hidden="false" customHeight="false" outlineLevel="0" collapsed="false">
      <c r="A11" s="10"/>
      <c r="B11" s="11"/>
      <c r="C11" s="11"/>
      <c r="D11" s="11"/>
      <c r="E11" s="9"/>
      <c r="F11" s="9"/>
      <c r="G11" s="12" t="n">
        <f aca="false">G10+E11-F11</f>
        <v>45000</v>
      </c>
    </row>
    <row r="12" customFormat="false" ht="15" hidden="false" customHeight="false" outlineLevel="0" collapsed="false">
      <c r="A12" s="10"/>
      <c r="B12" s="11"/>
      <c r="C12" s="11"/>
      <c r="D12" s="11"/>
      <c r="E12" s="9"/>
      <c r="F12" s="9"/>
      <c r="G12" s="12" t="n">
        <f aca="false">G11+E12-F12</f>
        <v>45000</v>
      </c>
    </row>
    <row r="13" customFormat="false" ht="15" hidden="false" customHeight="false" outlineLevel="0" collapsed="false">
      <c r="A13" s="10"/>
      <c r="B13" s="11"/>
      <c r="C13" s="11"/>
      <c r="D13" s="11"/>
      <c r="E13" s="9"/>
      <c r="F13" s="9"/>
      <c r="G13" s="12" t="n">
        <f aca="false">G12+E13-F13</f>
        <v>45000</v>
      </c>
    </row>
    <row r="14" customFormat="false" ht="15" hidden="false" customHeight="false" outlineLevel="0" collapsed="false">
      <c r="A14" s="10"/>
      <c r="B14" s="11"/>
      <c r="C14" s="11"/>
      <c r="D14" s="11"/>
      <c r="E14" s="9"/>
      <c r="F14" s="9"/>
      <c r="G14" s="12" t="n">
        <f aca="false">G13+E14-F14</f>
        <v>45000</v>
      </c>
    </row>
    <row r="15" customFormat="false" ht="15" hidden="false" customHeight="false" outlineLevel="0" collapsed="false">
      <c r="A15" s="10"/>
      <c r="B15" s="11"/>
      <c r="C15" s="11"/>
      <c r="D15" s="11"/>
      <c r="E15" s="9"/>
      <c r="F15" s="9"/>
      <c r="G15" s="12" t="n">
        <f aca="false">G14+E15-F15</f>
        <v>45000</v>
      </c>
    </row>
    <row r="16" customFormat="false" ht="15" hidden="false" customHeight="false" outlineLevel="0" collapsed="false">
      <c r="A16" s="10"/>
      <c r="B16" s="11"/>
      <c r="C16" s="11"/>
      <c r="D16" s="11"/>
      <c r="E16" s="9"/>
      <c r="F16" s="9"/>
      <c r="G16" s="12" t="n">
        <f aca="false">G15+E16-F16</f>
        <v>45000</v>
      </c>
    </row>
    <row r="17" customFormat="false" ht="15" hidden="false" customHeight="false" outlineLevel="0" collapsed="false">
      <c r="A17" s="10"/>
      <c r="B17" s="11"/>
      <c r="C17" s="11"/>
      <c r="D17" s="11"/>
      <c r="E17" s="9"/>
      <c r="F17" s="9"/>
      <c r="G17" s="12" t="n">
        <f aca="false">G16+E17-F17</f>
        <v>45000</v>
      </c>
    </row>
    <row r="18" customFormat="false" ht="15" hidden="false" customHeight="false" outlineLevel="0" collapsed="false">
      <c r="A18" s="10"/>
      <c r="B18" s="11"/>
      <c r="C18" s="11"/>
      <c r="D18" s="11"/>
      <c r="E18" s="9"/>
      <c r="F18" s="9"/>
      <c r="G18" s="12" t="n">
        <f aca="false">G17+E18-F18</f>
        <v>45000</v>
      </c>
    </row>
    <row r="19" customFormat="false" ht="15" hidden="false" customHeight="false" outlineLevel="0" collapsed="false">
      <c r="A19" s="10"/>
      <c r="B19" s="11"/>
      <c r="C19" s="11"/>
      <c r="D19" s="11"/>
      <c r="E19" s="9"/>
      <c r="F19" s="9"/>
      <c r="G19" s="12" t="n">
        <f aca="false">G18+E19-F19</f>
        <v>45000</v>
      </c>
    </row>
    <row r="20" customFormat="false" ht="15" hidden="false" customHeight="false" outlineLevel="0" collapsed="false">
      <c r="A20" s="10"/>
      <c r="B20" s="11"/>
      <c r="C20" s="11"/>
      <c r="D20" s="11"/>
      <c r="E20" s="9"/>
      <c r="F20" s="9"/>
      <c r="G20" s="12" t="n">
        <f aca="false">G19+E20-F20</f>
        <v>45000</v>
      </c>
    </row>
    <row r="21" customFormat="false" ht="15" hidden="false" customHeight="false" outlineLevel="0" collapsed="false">
      <c r="A21" s="10"/>
      <c r="B21" s="11"/>
      <c r="C21" s="11"/>
      <c r="D21" s="11"/>
      <c r="E21" s="9"/>
      <c r="F21" s="9"/>
      <c r="G21" s="12" t="n">
        <f aca="false">G20+E21-F21</f>
        <v>45000</v>
      </c>
    </row>
    <row r="22" customFormat="false" ht="15" hidden="false" customHeight="false" outlineLevel="0" collapsed="false">
      <c r="A22" s="10"/>
      <c r="B22" s="11"/>
      <c r="C22" s="11"/>
      <c r="D22" s="11"/>
      <c r="E22" s="9"/>
      <c r="F22" s="9"/>
      <c r="G22" s="12" t="n">
        <f aca="false">G21+E22-F22</f>
        <v>45000</v>
      </c>
    </row>
    <row r="23" customFormat="false" ht="15" hidden="false" customHeight="false" outlineLevel="0" collapsed="false">
      <c r="A23" s="10"/>
      <c r="B23" s="11"/>
      <c r="C23" s="11"/>
      <c r="D23" s="11"/>
      <c r="E23" s="9"/>
      <c r="F23" s="9"/>
      <c r="G23" s="12" t="n">
        <f aca="false">G22+E23-F23</f>
        <v>45000</v>
      </c>
    </row>
    <row r="24" customFormat="false" ht="15" hidden="false" customHeight="false" outlineLevel="0" collapsed="false">
      <c r="A24" s="10"/>
      <c r="B24" s="11"/>
      <c r="C24" s="11"/>
      <c r="D24" s="11"/>
      <c r="E24" s="9"/>
      <c r="F24" s="9"/>
      <c r="G24" s="12" t="n">
        <f aca="false">G23+E24-F24</f>
        <v>45000</v>
      </c>
    </row>
    <row r="25" customFormat="false" ht="15" hidden="false" customHeight="false" outlineLevel="0" collapsed="false">
      <c r="A25" s="10"/>
      <c r="B25" s="11"/>
      <c r="C25" s="11"/>
      <c r="D25" s="11"/>
      <c r="E25" s="9"/>
      <c r="F25" s="9"/>
      <c r="G25" s="12" t="n">
        <f aca="false">G24+E25-F25</f>
        <v>45000</v>
      </c>
    </row>
    <row r="26" customFormat="false" ht="15" hidden="false" customHeight="false" outlineLevel="0" collapsed="false">
      <c r="A26" s="10"/>
      <c r="B26" s="11"/>
      <c r="C26" s="11"/>
      <c r="D26" s="11"/>
      <c r="E26" s="9"/>
      <c r="F26" s="9"/>
      <c r="G26" s="12" t="n">
        <f aca="false">G25+E26-F26</f>
        <v>45000</v>
      </c>
    </row>
    <row r="27" customFormat="false" ht="15" hidden="false" customHeight="false" outlineLevel="0" collapsed="false">
      <c r="A27" s="10"/>
      <c r="B27" s="11"/>
      <c r="C27" s="11"/>
      <c r="D27" s="11"/>
      <c r="E27" s="9"/>
      <c r="F27" s="9"/>
      <c r="G27" s="12" t="n">
        <f aca="false">G26+E27-F27</f>
        <v>45000</v>
      </c>
    </row>
    <row r="28" customFormat="false" ht="15" hidden="false" customHeight="false" outlineLevel="0" collapsed="false">
      <c r="A28" s="10"/>
      <c r="B28" s="11"/>
      <c r="C28" s="11"/>
      <c r="D28" s="11"/>
      <c r="E28" s="9"/>
      <c r="F28" s="9"/>
      <c r="G28" s="12" t="n">
        <f aca="false">G27+E28-F28</f>
        <v>45000</v>
      </c>
    </row>
    <row r="29" customFormat="false" ht="15" hidden="false" customHeight="false" outlineLevel="0" collapsed="false">
      <c r="A29" s="10"/>
      <c r="B29" s="11"/>
      <c r="C29" s="11"/>
      <c r="D29" s="11"/>
      <c r="E29" s="9"/>
      <c r="F29" s="9"/>
      <c r="G29" s="12" t="n">
        <f aca="false">G28+E29-F29</f>
        <v>45000</v>
      </c>
    </row>
    <row r="30" customFormat="false" ht="15" hidden="false" customHeight="false" outlineLevel="0" collapsed="false">
      <c r="A30" s="10"/>
      <c r="B30" s="11"/>
      <c r="C30" s="11"/>
      <c r="D30" s="11"/>
      <c r="E30" s="9"/>
      <c r="F30" s="9"/>
      <c r="G30" s="12" t="n">
        <f aca="false">G29+E30-F30</f>
        <v>45000</v>
      </c>
    </row>
    <row r="31" customFormat="false" ht="15" hidden="false" customHeight="false" outlineLevel="0" collapsed="false">
      <c r="A31" s="10"/>
      <c r="B31" s="11"/>
      <c r="C31" s="11"/>
      <c r="D31" s="11"/>
      <c r="E31" s="9"/>
      <c r="F31" s="9"/>
      <c r="G31" s="12" t="n">
        <f aca="false">G30+E31-F31</f>
        <v>45000</v>
      </c>
    </row>
    <row r="32" customFormat="false" ht="15" hidden="false" customHeight="false" outlineLevel="0" collapsed="false">
      <c r="A32" s="10"/>
      <c r="B32" s="11"/>
      <c r="C32" s="11"/>
      <c r="D32" s="11"/>
      <c r="E32" s="9"/>
      <c r="F32" s="9"/>
      <c r="G32" s="12" t="n">
        <f aca="false">G31+E32-F32</f>
        <v>45000</v>
      </c>
    </row>
    <row r="33" customFormat="false" ht="15" hidden="false" customHeight="false" outlineLevel="0" collapsed="false">
      <c r="A33" s="10"/>
      <c r="B33" s="11"/>
      <c r="C33" s="11"/>
      <c r="D33" s="11"/>
      <c r="E33" s="9"/>
      <c r="F33" s="9"/>
      <c r="G33" s="12" t="n">
        <f aca="false">G32+E33-F33</f>
        <v>45000</v>
      </c>
    </row>
    <row r="34" customFormat="false" ht="15" hidden="false" customHeight="false" outlineLevel="0" collapsed="false">
      <c r="A34" s="10"/>
      <c r="B34" s="11"/>
      <c r="C34" s="11"/>
      <c r="D34" s="11"/>
      <c r="E34" s="9"/>
      <c r="F34" s="9"/>
      <c r="G34" s="12" t="n">
        <f aca="false">G33+E34-F34</f>
        <v>45000</v>
      </c>
    </row>
    <row r="35" customFormat="false" ht="15" hidden="false" customHeight="false" outlineLevel="0" collapsed="false">
      <c r="A35" s="10"/>
      <c r="B35" s="11"/>
      <c r="C35" s="11"/>
      <c r="D35" s="11"/>
      <c r="E35" s="9"/>
      <c r="F35" s="9"/>
      <c r="G35" s="12" t="n">
        <f aca="false">G34+E35-F35</f>
        <v>45000</v>
      </c>
    </row>
    <row r="36" customFormat="false" ht="15" hidden="false" customHeight="false" outlineLevel="0" collapsed="false">
      <c r="A36" s="10"/>
      <c r="B36" s="11"/>
      <c r="C36" s="11"/>
      <c r="D36" s="11"/>
      <c r="E36" s="9"/>
      <c r="F36" s="9"/>
      <c r="G36" s="12" t="n">
        <f aca="false">G35+E36-F36</f>
        <v>45000</v>
      </c>
    </row>
    <row r="37" customFormat="false" ht="15" hidden="false" customHeight="false" outlineLevel="0" collapsed="false">
      <c r="A37" s="10"/>
      <c r="B37" s="11"/>
      <c r="C37" s="11"/>
      <c r="D37" s="11"/>
      <c r="E37" s="9"/>
      <c r="F37" s="9"/>
      <c r="G37" s="12" t="n">
        <f aca="false">G36+E37-F37</f>
        <v>45000</v>
      </c>
    </row>
    <row r="38" customFormat="false" ht="15" hidden="false" customHeight="false" outlineLevel="0" collapsed="false">
      <c r="A38" s="10"/>
      <c r="B38" s="11"/>
      <c r="C38" s="11"/>
      <c r="D38" s="11"/>
      <c r="E38" s="9"/>
      <c r="F38" s="9"/>
      <c r="G38" s="12" t="n">
        <f aca="false">G37+E38-F38</f>
        <v>45000</v>
      </c>
    </row>
    <row r="39" customFormat="false" ht="15" hidden="false" customHeight="false" outlineLevel="0" collapsed="false">
      <c r="A39" s="10"/>
      <c r="B39" s="11"/>
      <c r="C39" s="11"/>
      <c r="D39" s="11"/>
      <c r="E39" s="9"/>
      <c r="F39" s="9"/>
      <c r="G39" s="12" t="n">
        <f aca="false">G38+E39-F39</f>
        <v>45000</v>
      </c>
    </row>
    <row r="40" customFormat="false" ht="15" hidden="false" customHeight="false" outlineLevel="0" collapsed="false">
      <c r="A40" s="10"/>
      <c r="B40" s="11"/>
      <c r="C40" s="11"/>
      <c r="D40" s="11"/>
      <c r="E40" s="9"/>
      <c r="F40" s="9"/>
      <c r="G40" s="12" t="n">
        <f aca="false">G39+E40-F40</f>
        <v>45000</v>
      </c>
    </row>
    <row r="41" customFormat="false" ht="15" hidden="false" customHeight="false" outlineLevel="0" collapsed="false">
      <c r="A41" s="10"/>
      <c r="B41" s="11"/>
      <c r="C41" s="11"/>
      <c r="D41" s="11"/>
      <c r="E41" s="9"/>
      <c r="F41" s="9"/>
      <c r="G41" s="12" t="n">
        <f aca="false">G40+E41-F41</f>
        <v>45000</v>
      </c>
    </row>
    <row r="42" customFormat="false" ht="15" hidden="false" customHeight="false" outlineLevel="0" collapsed="false">
      <c r="A42" s="10"/>
      <c r="B42" s="11"/>
      <c r="C42" s="11"/>
      <c r="D42" s="11"/>
      <c r="E42" s="9"/>
      <c r="F42" s="9"/>
      <c r="G42" s="12" t="n">
        <f aca="false">G41+E42-F42</f>
        <v>45000</v>
      </c>
    </row>
    <row r="43" customFormat="false" ht="15" hidden="false" customHeight="false" outlineLevel="0" collapsed="false">
      <c r="A43" s="10"/>
      <c r="B43" s="11"/>
      <c r="C43" s="11"/>
      <c r="D43" s="11"/>
      <c r="E43" s="9"/>
      <c r="F43" s="9"/>
      <c r="G43" s="12" t="n">
        <f aca="false">G42+E43-F43</f>
        <v>45000</v>
      </c>
    </row>
    <row r="44" customFormat="false" ht="15" hidden="false" customHeight="false" outlineLevel="0" collapsed="false">
      <c r="A44" s="10"/>
      <c r="B44" s="11"/>
      <c r="C44" s="11"/>
      <c r="D44" s="11"/>
      <c r="E44" s="9"/>
      <c r="F44" s="9"/>
      <c r="G44" s="12" t="n">
        <f aca="false">G43+E44-F44</f>
        <v>45000</v>
      </c>
    </row>
    <row r="45" customFormat="false" ht="15" hidden="false" customHeight="false" outlineLevel="0" collapsed="false">
      <c r="A45" s="10"/>
      <c r="B45" s="11"/>
      <c r="C45" s="11"/>
      <c r="D45" s="11"/>
      <c r="E45" s="9"/>
      <c r="F45" s="9"/>
      <c r="G45" s="12" t="n">
        <f aca="false">G44+E45-F45</f>
        <v>45000</v>
      </c>
    </row>
    <row r="46" customFormat="false" ht="15" hidden="false" customHeight="false" outlineLevel="0" collapsed="false">
      <c r="A46" s="10"/>
      <c r="B46" s="11"/>
      <c r="C46" s="11"/>
      <c r="D46" s="11"/>
      <c r="E46" s="9"/>
      <c r="F46" s="9"/>
      <c r="G46" s="12" t="n">
        <f aca="false">G45+E46-F46</f>
        <v>45000</v>
      </c>
    </row>
    <row r="47" customFormat="false" ht="15" hidden="false" customHeight="false" outlineLevel="0" collapsed="false">
      <c r="A47" s="10"/>
      <c r="B47" s="11"/>
      <c r="C47" s="11"/>
      <c r="D47" s="11"/>
      <c r="E47" s="9"/>
      <c r="F47" s="9"/>
      <c r="G47" s="12" t="n">
        <f aca="false">G46+E47-F47</f>
        <v>45000</v>
      </c>
    </row>
    <row r="48" customFormat="false" ht="15" hidden="false" customHeight="false" outlineLevel="0" collapsed="false">
      <c r="D48" s="13" t="s">
        <v>32</v>
      </c>
      <c r="E48" s="14" t="n">
        <f aca="false">SUM(E8:E47)</f>
        <v>45000</v>
      </c>
      <c r="F48" s="14" t="n">
        <f aca="false">SUM(F8:F47)</f>
        <v>0</v>
      </c>
      <c r="G48" s="14" t="n">
        <f aca="false">E4+E48-F48</f>
        <v>45000</v>
      </c>
    </row>
    <row r="50" customFormat="false" ht="15" hidden="false" customHeight="true" outlineLevel="0" collapsed="false">
      <c r="A50" s="15" t="s">
        <v>33</v>
      </c>
      <c r="B50" s="15"/>
      <c r="C50" s="15"/>
      <c r="D50" s="15"/>
    </row>
    <row r="51" customFormat="false" ht="30" hidden="false" customHeight="true" outlineLevel="0" collapsed="false">
      <c r="A51" s="3" t="s">
        <v>25</v>
      </c>
      <c r="B51" s="3"/>
      <c r="C51" s="3"/>
      <c r="D51" s="3"/>
      <c r="E51" s="3" t="s">
        <v>34</v>
      </c>
      <c r="F51" s="3" t="s">
        <v>35</v>
      </c>
    </row>
    <row r="52" customFormat="false" ht="15" hidden="false" customHeight="false" outlineLevel="0" collapsed="false">
      <c r="A52" s="16" t="s">
        <v>31</v>
      </c>
      <c r="B52" s="16"/>
      <c r="C52" s="16"/>
      <c r="D52" s="16"/>
      <c r="E52" s="12" t="n">
        <f aca="false">SUMIF($D$8:$D$47,A52,$E$8:$E$47)</f>
        <v>45000</v>
      </c>
      <c r="F52" s="12" t="n">
        <f aca="false">SUMIF($D$8:$D$47,A52,$F$8:$F$47)</f>
        <v>0</v>
      </c>
    </row>
    <row r="53" customFormat="false" ht="15" hidden="false" customHeight="false" outlineLevel="0" collapsed="false">
      <c r="A53" s="16" t="s">
        <v>36</v>
      </c>
      <c r="B53" s="16"/>
      <c r="C53" s="16"/>
      <c r="D53" s="16"/>
      <c r="E53" s="12" t="n">
        <f aca="false">SUMIF($D$8:$D$47,A53,$E$8:$E$47)</f>
        <v>0</v>
      </c>
      <c r="F53" s="12" t="n">
        <f aca="false">SUMIF($D$8:$D$47,A53,$F$8:$F$47)</f>
        <v>0</v>
      </c>
    </row>
    <row r="54" customFormat="false" ht="15" hidden="false" customHeight="false" outlineLevel="0" collapsed="false">
      <c r="A54" s="16" t="s">
        <v>37</v>
      </c>
      <c r="B54" s="16"/>
      <c r="C54" s="16"/>
      <c r="D54" s="16"/>
      <c r="E54" s="12" t="n">
        <f aca="false">SUMIF($D$8:$D$47,A54,$E$8:$E$47)</f>
        <v>0</v>
      </c>
      <c r="F54" s="12" t="n">
        <f aca="false">SUMIF($D$8:$D$47,A54,$F$8:$F$47)</f>
        <v>0</v>
      </c>
    </row>
    <row r="55" customFormat="false" ht="15" hidden="false" customHeight="false" outlineLevel="0" collapsed="false">
      <c r="A55" s="16" t="s">
        <v>38</v>
      </c>
      <c r="B55" s="16"/>
      <c r="C55" s="16"/>
      <c r="D55" s="16"/>
      <c r="E55" s="12" t="n">
        <f aca="false">SUMIF($D$8:$D$47,A55,$E$8:$E$47)</f>
        <v>0</v>
      </c>
      <c r="F55" s="12" t="n">
        <f aca="false">SUMIF($D$8:$D$47,A55,$F$8:$F$47)</f>
        <v>0</v>
      </c>
    </row>
    <row r="56" customFormat="false" ht="15" hidden="false" customHeight="false" outlineLevel="0" collapsed="false">
      <c r="A56" s="16" t="s">
        <v>39</v>
      </c>
      <c r="B56" s="16"/>
      <c r="C56" s="16"/>
      <c r="D56" s="16"/>
      <c r="E56" s="12" t="n">
        <f aca="false">SUMIF($D$8:$D$47,A56,$E$8:$E$47)</f>
        <v>0</v>
      </c>
      <c r="F56" s="12" t="n">
        <f aca="false">SUMIF($D$8:$D$47,A56,$F$8:$F$47)</f>
        <v>0</v>
      </c>
    </row>
    <row r="57" customFormat="false" ht="15" hidden="false" customHeight="false" outlineLevel="0" collapsed="false">
      <c r="A57" s="16" t="s">
        <v>40</v>
      </c>
      <c r="B57" s="16"/>
      <c r="C57" s="16"/>
      <c r="D57" s="16"/>
      <c r="E57" s="12" t="n">
        <f aca="false">SUMIF($D$8:$D$47,A57,$E$8:$E$47)</f>
        <v>0</v>
      </c>
      <c r="F57" s="12" t="n">
        <f aca="false">SUMIF($D$8:$D$47,A57,$F$8:$F$47)</f>
        <v>0</v>
      </c>
    </row>
    <row r="58" customFormat="false" ht="15" hidden="false" customHeight="false" outlineLevel="0" collapsed="false">
      <c r="A58" s="16" t="s">
        <v>41</v>
      </c>
      <c r="B58" s="16"/>
      <c r="C58" s="16"/>
      <c r="D58" s="16"/>
      <c r="E58" s="12" t="n">
        <f aca="false">SUMIF($D$8:$D$47,A58,$E$8:$E$47)</f>
        <v>0</v>
      </c>
      <c r="F58" s="12" t="n">
        <f aca="false">SUMIF($D$8:$D$47,A58,$F$8:$F$47)</f>
        <v>0</v>
      </c>
    </row>
    <row r="59" customFormat="false" ht="15" hidden="false" customHeight="false" outlineLevel="0" collapsed="false">
      <c r="A59" s="16" t="s">
        <v>42</v>
      </c>
      <c r="B59" s="16"/>
      <c r="C59" s="16"/>
      <c r="D59" s="16"/>
      <c r="E59" s="12" t="n">
        <f aca="false">SUMIF($D$8:$D$47,A59,$E$8:$E$47)</f>
        <v>0</v>
      </c>
      <c r="F59" s="12" t="n">
        <f aca="false">SUMIF($D$8:$D$47,A59,$F$8:$F$47)</f>
        <v>0</v>
      </c>
    </row>
    <row r="60" customFormat="false" ht="15" hidden="false" customHeight="false" outlineLevel="0" collapsed="false">
      <c r="A60" s="7" t="s">
        <v>43</v>
      </c>
      <c r="B60" s="7"/>
      <c r="C60" s="7"/>
      <c r="D60" s="7"/>
      <c r="E60" s="9"/>
    </row>
    <row r="61" customFormat="false" ht="15" hidden="false" customHeight="false" outlineLevel="0" collapsed="false">
      <c r="A61" s="13" t="s">
        <v>44</v>
      </c>
      <c r="B61" s="13"/>
      <c r="C61" s="13"/>
      <c r="D61" s="13"/>
      <c r="E61" s="14" t="str">
        <f aca="false">IF(E60="","",E60-G48)</f>
        <v/>
      </c>
    </row>
    <row r="63" customFormat="false" ht="15" hidden="false" customHeight="false" outlineLevel="0" collapsed="false">
      <c r="A63" s="4" t="s">
        <v>45</v>
      </c>
      <c r="B63" s="4"/>
      <c r="C63" s="4"/>
      <c r="D63" s="4"/>
      <c r="E63" s="10"/>
    </row>
  </sheetData>
  <mergeCells count="15">
    <mergeCell ref="B4:C4"/>
    <mergeCell ref="A5:G5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3:D63"/>
  </mergeCells>
  <dataValidations count="1">
    <dataValidation allowBlank="true" errorStyle="stop" operator="between" showDropDown="false" showErrorMessage="false" showInputMessage="false" sqref="D8:D47" type="list">
      <formula1>"Vente,Achat de marchandises,Loyer professionnel,Salaires,Transport,Autre dépense professionnelle,Apport personnel,Retrait personnel"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</cols>
  <sheetData>
    <row r="1" customFormat="false" ht="18.5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7" t="s">
        <v>48</v>
      </c>
      <c r="B4" s="17" t="n">
        <v>2026</v>
      </c>
    </row>
    <row r="5" customFormat="false" ht="15" hidden="false" customHeight="true" outlineLevel="0" collapsed="false">
      <c r="A5" s="6" t="s">
        <v>21</v>
      </c>
      <c r="B5" s="6"/>
      <c r="C5" s="6"/>
      <c r="D5" s="6"/>
      <c r="E5" s="6"/>
      <c r="F5" s="6"/>
    </row>
    <row r="7" customFormat="false" ht="30" hidden="false" customHeight="true" outlineLevel="0" collapsed="false">
      <c r="A7" s="3" t="s">
        <v>19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</row>
    <row r="8" customFormat="false" ht="15" hidden="false" customHeight="false" outlineLevel="0" collapsed="false">
      <c r="A8" s="16" t="s">
        <v>54</v>
      </c>
      <c r="B8" s="9"/>
      <c r="C8" s="9"/>
      <c r="D8" s="9"/>
      <c r="E8" s="9"/>
      <c r="F8" s="12" t="str">
        <f aca="false">IF(COUNT(B8:D8)=0,"",B8-C8-D8)</f>
        <v/>
      </c>
    </row>
    <row r="9" customFormat="false" ht="15" hidden="false" customHeight="false" outlineLevel="0" collapsed="false">
      <c r="A9" s="16" t="s">
        <v>55</v>
      </c>
      <c r="B9" s="9"/>
      <c r="C9" s="9"/>
      <c r="D9" s="9"/>
      <c r="E9" s="9"/>
      <c r="F9" s="12" t="str">
        <f aca="false">IF(COUNT(B9:D9)=0,"",B9-C9-D9)</f>
        <v/>
      </c>
    </row>
    <row r="10" customFormat="false" ht="15" hidden="false" customHeight="false" outlineLevel="0" collapsed="false">
      <c r="A10" s="16" t="s">
        <v>56</v>
      </c>
      <c r="B10" s="9"/>
      <c r="C10" s="9"/>
      <c r="D10" s="9"/>
      <c r="E10" s="9"/>
      <c r="F10" s="12" t="str">
        <f aca="false">IF(COUNT(B10:D10)=0,"",B10-C10-D10)</f>
        <v/>
      </c>
    </row>
    <row r="11" customFormat="false" ht="15" hidden="false" customHeight="false" outlineLevel="0" collapsed="false">
      <c r="A11" s="16" t="s">
        <v>57</v>
      </c>
      <c r="B11" s="9"/>
      <c r="C11" s="9"/>
      <c r="D11" s="9"/>
      <c r="E11" s="9"/>
      <c r="F11" s="12" t="str">
        <f aca="false">IF(COUNT(B11:D11)=0,"",B11-C11-D11)</f>
        <v/>
      </c>
    </row>
    <row r="12" customFormat="false" ht="15" hidden="false" customHeight="false" outlineLevel="0" collapsed="false">
      <c r="A12" s="16" t="s">
        <v>58</v>
      </c>
      <c r="B12" s="9"/>
      <c r="C12" s="9"/>
      <c r="D12" s="9"/>
      <c r="E12" s="9"/>
      <c r="F12" s="12" t="str">
        <f aca="false">IF(COUNT(B12:D12)=0,"",B12-C12-D12)</f>
        <v/>
      </c>
    </row>
    <row r="13" customFormat="false" ht="15" hidden="false" customHeight="false" outlineLevel="0" collapsed="false">
      <c r="A13" s="16" t="s">
        <v>59</v>
      </c>
      <c r="B13" s="9"/>
      <c r="C13" s="9"/>
      <c r="D13" s="9"/>
      <c r="E13" s="9"/>
      <c r="F13" s="12" t="str">
        <f aca="false">IF(COUNT(B13:D13)=0,"",B13-C13-D13)</f>
        <v/>
      </c>
    </row>
    <row r="14" customFormat="false" ht="15" hidden="false" customHeight="false" outlineLevel="0" collapsed="false">
      <c r="A14" s="16" t="s">
        <v>60</v>
      </c>
      <c r="B14" s="9"/>
      <c r="C14" s="9"/>
      <c r="D14" s="9"/>
      <c r="E14" s="9"/>
      <c r="F14" s="12" t="str">
        <f aca="false">IF(COUNT(B14:D14)=0,"",B14-C14-D14)</f>
        <v/>
      </c>
    </row>
    <row r="15" customFormat="false" ht="15" hidden="false" customHeight="false" outlineLevel="0" collapsed="false">
      <c r="A15" s="16" t="s">
        <v>61</v>
      </c>
      <c r="B15" s="9"/>
      <c r="C15" s="9"/>
      <c r="D15" s="9"/>
      <c r="E15" s="9"/>
      <c r="F15" s="12" t="str">
        <f aca="false">IF(COUNT(B15:D15)=0,"",B15-C15-D15)</f>
        <v/>
      </c>
    </row>
    <row r="16" customFormat="false" ht="15" hidden="false" customHeight="false" outlineLevel="0" collapsed="false">
      <c r="A16" s="16" t="s">
        <v>62</v>
      </c>
      <c r="B16" s="9"/>
      <c r="C16" s="9"/>
      <c r="D16" s="9"/>
      <c r="E16" s="9"/>
      <c r="F16" s="12" t="str">
        <f aca="false">IF(COUNT(B16:D16)=0,"",B16-C16-D16)</f>
        <v/>
      </c>
    </row>
    <row r="17" customFormat="false" ht="15" hidden="false" customHeight="false" outlineLevel="0" collapsed="false">
      <c r="A17" s="16" t="s">
        <v>63</v>
      </c>
      <c r="B17" s="9"/>
      <c r="C17" s="9"/>
      <c r="D17" s="9"/>
      <c r="E17" s="9"/>
      <c r="F17" s="12" t="str">
        <f aca="false">IF(COUNT(B17:D17)=0,"",B17-C17-D17)</f>
        <v/>
      </c>
    </row>
    <row r="18" customFormat="false" ht="15" hidden="false" customHeight="false" outlineLevel="0" collapsed="false">
      <c r="A18" s="16" t="s">
        <v>64</v>
      </c>
      <c r="B18" s="9"/>
      <c r="C18" s="9"/>
      <c r="D18" s="9"/>
      <c r="E18" s="9"/>
      <c r="F18" s="12" t="str">
        <f aca="false">IF(COUNT(B18:D18)=0,"",B18-C18-D18)</f>
        <v/>
      </c>
    </row>
    <row r="19" customFormat="false" ht="15" hidden="false" customHeight="false" outlineLevel="0" collapsed="false">
      <c r="A19" s="16" t="s">
        <v>65</v>
      </c>
      <c r="B19" s="9"/>
      <c r="C19" s="9"/>
      <c r="D19" s="9"/>
      <c r="E19" s="9"/>
      <c r="F19" s="12" t="str">
        <f aca="false">IF(COUNT(B19:D19)=0,"",B19-C19-D19)</f>
        <v/>
      </c>
    </row>
    <row r="20" customFormat="false" ht="15" hidden="false" customHeight="false" outlineLevel="0" collapsed="false">
      <c r="A20" s="13" t="s">
        <v>48</v>
      </c>
      <c r="B20" s="14" t="n">
        <f aca="false">SUM(B8:B19)</f>
        <v>0</v>
      </c>
      <c r="C20" s="14" t="n">
        <f aca="false">SUM(C8:C19)</f>
        <v>0</v>
      </c>
      <c r="D20" s="14" t="n">
        <f aca="false">SUM(D8:D19)</f>
        <v>0</v>
      </c>
      <c r="E20" s="14" t="n">
        <f aca="false">SUM(E8:E19)</f>
        <v>0</v>
      </c>
      <c r="F20" s="14" t="n">
        <f aca="false">B20-C20-D20</f>
        <v>0</v>
      </c>
    </row>
    <row r="22" customFormat="false" ht="15" hidden="false" customHeight="false" outlineLevel="0" collapsed="false">
      <c r="A22" s="4" t="s">
        <v>66</v>
      </c>
      <c r="B22" s="4"/>
      <c r="C22" s="4"/>
      <c r="D22" s="9"/>
    </row>
    <row r="23" customFormat="false" ht="15" hidden="false" customHeight="false" outlineLevel="0" collapsed="false">
      <c r="A23" s="4" t="s">
        <v>67</v>
      </c>
      <c r="B23" s="4"/>
      <c r="C23" s="4"/>
      <c r="D23" s="9"/>
    </row>
    <row r="24" customFormat="false" ht="15" hidden="false" customHeight="false" outlineLevel="0" collapsed="false">
      <c r="A24" s="13" t="s">
        <v>68</v>
      </c>
      <c r="B24" s="13"/>
      <c r="C24" s="13"/>
      <c r="D24" s="14" t="str">
        <f aca="false">IF(B20=0,"",B20-(D22+C20-D23))</f>
        <v/>
      </c>
    </row>
    <row r="25" customFormat="false" ht="15" hidden="false" customHeight="false" outlineLevel="0" collapsed="false">
      <c r="A25" s="13" t="s">
        <v>69</v>
      </c>
      <c r="B25" s="13"/>
      <c r="C25" s="13"/>
      <c r="D25" s="18" t="str">
        <f aca="false">IF(B20=0,"",D24/B20)</f>
        <v/>
      </c>
    </row>
    <row r="27" customFormat="false" ht="30" hidden="false" customHeight="true" outlineLevel="0" collapsed="false">
      <c r="A27" s="6" t="s">
        <v>70</v>
      </c>
      <c r="B27" s="6"/>
      <c r="C27" s="6"/>
      <c r="D27" s="6"/>
      <c r="E27" s="6"/>
      <c r="F27" s="6"/>
    </row>
  </sheetData>
  <mergeCells count="6">
    <mergeCell ref="A5:F5"/>
    <mergeCell ref="A22:C22"/>
    <mergeCell ref="A23:C23"/>
    <mergeCell ref="A24:C24"/>
    <mergeCell ref="A25:C25"/>
    <mergeCell ref="A27:F27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18.5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true" outlineLevel="0" collapsed="false">
      <c r="A4" s="6" t="s">
        <v>21</v>
      </c>
      <c r="B4" s="6"/>
      <c r="C4" s="6"/>
    </row>
    <row r="6" customFormat="false" ht="30" hidden="false" customHeight="true" outlineLevel="0" collapsed="false">
      <c r="A6" s="3" t="s">
        <v>73</v>
      </c>
      <c r="B6" s="3"/>
      <c r="C6" s="3" t="s">
        <v>74</v>
      </c>
    </row>
    <row r="7" customFormat="false" ht="15" hidden="false" customHeight="false" outlineLevel="0" collapsed="false">
      <c r="A7" s="16" t="s">
        <v>75</v>
      </c>
      <c r="B7" s="16"/>
      <c r="C7" s="9"/>
    </row>
    <row r="8" customFormat="false" ht="15" hidden="false" customHeight="false" outlineLevel="0" collapsed="false">
      <c r="A8" s="16" t="s">
        <v>76</v>
      </c>
      <c r="B8" s="16"/>
      <c r="C8" s="9"/>
    </row>
    <row r="9" customFormat="false" ht="15" hidden="false" customHeight="false" outlineLevel="0" collapsed="false">
      <c r="A9" s="16" t="s">
        <v>66</v>
      </c>
      <c r="B9" s="16"/>
      <c r="C9" s="9"/>
    </row>
    <row r="10" customFormat="false" ht="15" hidden="false" customHeight="false" outlineLevel="0" collapsed="false">
      <c r="A10" s="16" t="s">
        <v>67</v>
      </c>
      <c r="B10" s="16"/>
      <c r="C10" s="9"/>
    </row>
    <row r="11" customFormat="false" ht="15" hidden="false" customHeight="false" outlineLevel="0" collapsed="false">
      <c r="A11" s="16" t="s">
        <v>77</v>
      </c>
      <c r="B11" s="16"/>
      <c r="C11" s="9"/>
    </row>
    <row r="12" customFormat="false" ht="15" hidden="false" customHeight="false" outlineLevel="0" collapsed="false">
      <c r="A12" s="16" t="s">
        <v>78</v>
      </c>
      <c r="B12" s="16"/>
      <c r="C12" s="9"/>
    </row>
    <row r="13" customFormat="false" ht="15" hidden="false" customHeight="false" outlineLevel="0" collapsed="false">
      <c r="A13" s="16" t="s">
        <v>79</v>
      </c>
      <c r="B13" s="16"/>
      <c r="C13" s="17"/>
    </row>
    <row r="14" customFormat="false" ht="15" hidden="false" customHeight="false" outlineLevel="0" collapsed="false">
      <c r="A14" s="16" t="s">
        <v>80</v>
      </c>
      <c r="B14" s="16"/>
      <c r="C14" s="19"/>
    </row>
    <row r="16" customFormat="false" ht="15" hidden="false" customHeight="true" outlineLevel="0" collapsed="false">
      <c r="A16" s="15" t="s">
        <v>81</v>
      </c>
      <c r="B16" s="15"/>
      <c r="C16" s="15"/>
    </row>
    <row r="17" customFormat="false" ht="27.75" hidden="false" customHeight="true" outlineLevel="0" collapsed="false">
      <c r="A17" s="20" t="s">
        <v>82</v>
      </c>
      <c r="B17" s="20"/>
      <c r="C17" s="14" t="n">
        <f aca="false">C9+C8-C10</f>
        <v>0</v>
      </c>
    </row>
    <row r="18" customFormat="false" ht="27.75" hidden="false" customHeight="true" outlineLevel="0" collapsed="false">
      <c r="A18" s="20" t="s">
        <v>83</v>
      </c>
      <c r="B18" s="20"/>
      <c r="C18" s="14" t="n">
        <f aca="false">C7-C17</f>
        <v>0</v>
      </c>
    </row>
    <row r="19" customFormat="false" ht="27.75" hidden="false" customHeight="true" outlineLevel="0" collapsed="false">
      <c r="A19" s="20" t="s">
        <v>69</v>
      </c>
      <c r="B19" s="20"/>
      <c r="C19" s="18" t="str">
        <f aca="false">IF(C7=0,"",C18/C7)</f>
        <v/>
      </c>
    </row>
    <row r="20" customFormat="false" ht="15" hidden="false" customHeight="false" outlineLevel="0" collapsed="false">
      <c r="A20" s="16" t="s">
        <v>84</v>
      </c>
      <c r="B20" s="16"/>
      <c r="C20" s="21" t="str">
        <f aca="false">IF(C19="","",IF(C19&lt;0,"Marge négative : vérifier",IF(C19&gt;0.5,"Marge très élevée : vérifier","Plausible")))</f>
        <v/>
      </c>
    </row>
    <row r="22" customFormat="false" ht="15" hidden="false" customHeight="true" outlineLevel="0" collapsed="false">
      <c r="A22" s="15" t="s">
        <v>85</v>
      </c>
      <c r="B22" s="15"/>
      <c r="C22" s="15"/>
    </row>
    <row r="23" customFormat="false" ht="15" hidden="false" customHeight="false" outlineLevel="0" collapsed="false">
      <c r="A23" s="16" t="s">
        <v>86</v>
      </c>
      <c r="B23" s="16"/>
      <c r="C23" s="9"/>
    </row>
    <row r="24" customFormat="false" ht="15" hidden="false" customHeight="false" outlineLevel="0" collapsed="false">
      <c r="A24" s="16" t="s">
        <v>87</v>
      </c>
      <c r="B24" s="16"/>
      <c r="C24" s="22"/>
    </row>
    <row r="25" customFormat="false" ht="15" hidden="false" customHeight="false" outlineLevel="0" collapsed="false">
      <c r="A25" s="16" t="s">
        <v>88</v>
      </c>
      <c r="B25" s="16"/>
      <c r="C25" s="9"/>
    </row>
    <row r="26" customFormat="false" ht="15" hidden="false" customHeight="false" outlineLevel="0" collapsed="false">
      <c r="A26" s="13" t="s">
        <v>89</v>
      </c>
      <c r="B26" s="13"/>
      <c r="C26" s="14" t="str">
        <f aca="false">IF(C23="","",C23-C7)</f>
        <v/>
      </c>
    </row>
    <row r="27" customFormat="false" ht="15" hidden="false" customHeight="false" outlineLevel="0" collapsed="false">
      <c r="A27" s="13" t="s">
        <v>90</v>
      </c>
      <c r="B27" s="13"/>
      <c r="C27" s="14" t="str">
        <f aca="false">IF(C24="","",MAX(C7*C24,N(C25)))</f>
        <v/>
      </c>
    </row>
    <row r="29" customFormat="false" ht="42" hidden="false" customHeight="true" outlineLevel="0" collapsed="false">
      <c r="A29" s="6" t="s">
        <v>91</v>
      </c>
      <c r="B29" s="6"/>
      <c r="C29" s="6"/>
    </row>
  </sheetData>
  <mergeCells count="22">
    <mergeCell ref="A4:C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6:C16"/>
    <mergeCell ref="A17:B17"/>
    <mergeCell ref="A18:B18"/>
    <mergeCell ref="A19:B19"/>
    <mergeCell ref="A20:B20"/>
    <mergeCell ref="A22:C22"/>
    <mergeCell ref="A23:B23"/>
    <mergeCell ref="A24:B24"/>
    <mergeCell ref="A25:B25"/>
    <mergeCell ref="A26:B26"/>
    <mergeCell ref="A27:B27"/>
    <mergeCell ref="A29:C29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" t="s">
        <v>93</v>
      </c>
    </row>
    <row r="4" customFormat="false" ht="15" hidden="false" customHeight="true" outlineLevel="0" collapsed="false">
      <c r="A4" s="6" t="s">
        <v>21</v>
      </c>
      <c r="B4" s="6"/>
    </row>
    <row r="6" customFormat="false" ht="30" hidden="false" customHeight="true" outlineLevel="0" collapsed="false">
      <c r="A6" s="3" t="s">
        <v>94</v>
      </c>
      <c r="B6" s="3" t="s">
        <v>95</v>
      </c>
    </row>
    <row r="7" customFormat="false" ht="21.75" hidden="false" customHeight="true" outlineLevel="0" collapsed="false">
      <c r="A7" s="5" t="s">
        <v>96</v>
      </c>
      <c r="B7" s="11"/>
    </row>
    <row r="8" customFormat="false" ht="21.75" hidden="false" customHeight="true" outlineLevel="0" collapsed="false">
      <c r="A8" s="5" t="s">
        <v>97</v>
      </c>
      <c r="B8" s="11"/>
    </row>
    <row r="9" customFormat="false" ht="21.75" hidden="false" customHeight="true" outlineLevel="0" collapsed="false">
      <c r="A9" s="5" t="s">
        <v>98</v>
      </c>
      <c r="B9" s="11"/>
    </row>
    <row r="10" customFormat="false" ht="21.75" hidden="false" customHeight="true" outlineLevel="0" collapsed="false">
      <c r="A10" s="5" t="s">
        <v>99</v>
      </c>
      <c r="B10" s="11"/>
    </row>
    <row r="11" customFormat="false" ht="21.75" hidden="false" customHeight="true" outlineLevel="0" collapsed="false">
      <c r="A11" s="5" t="s">
        <v>100</v>
      </c>
      <c r="B11" s="11"/>
    </row>
    <row r="12" customFormat="false" ht="21.75" hidden="false" customHeight="true" outlineLevel="0" collapsed="false">
      <c r="A12" s="5" t="s">
        <v>101</v>
      </c>
      <c r="B12" s="11"/>
    </row>
    <row r="13" customFormat="false" ht="21.75" hidden="false" customHeight="true" outlineLevel="0" collapsed="false">
      <c r="A13" s="5" t="s">
        <v>102</v>
      </c>
      <c r="B13" s="11"/>
    </row>
    <row r="14" customFormat="false" ht="21.75" hidden="false" customHeight="true" outlineLevel="0" collapsed="false">
      <c r="A14" s="5" t="s">
        <v>103</v>
      </c>
      <c r="B14" s="11"/>
    </row>
    <row r="15" customFormat="false" ht="21.75" hidden="false" customHeight="true" outlineLevel="0" collapsed="false">
      <c r="A15" s="5" t="s">
        <v>104</v>
      </c>
      <c r="B15" s="11"/>
    </row>
    <row r="16" customFormat="false" ht="21.75" hidden="false" customHeight="true" outlineLevel="0" collapsed="false">
      <c r="A16" s="5" t="s">
        <v>105</v>
      </c>
      <c r="B16" s="11"/>
    </row>
    <row r="17" customFormat="false" ht="21.75" hidden="false" customHeight="true" outlineLevel="0" collapsed="false">
      <c r="A17" s="5" t="s">
        <v>106</v>
      </c>
      <c r="B17" s="11"/>
    </row>
    <row r="18" customFormat="false" ht="15" hidden="false" customHeight="false" outlineLevel="0" collapsed="false">
      <c r="A18" s="13" t="s">
        <v>107</v>
      </c>
      <c r="B18" s="23" t="str">
        <f aca="false">COUNTIF(B7:B17,"Oui")&amp;" / 11"</f>
        <v>0 / 11</v>
      </c>
    </row>
  </sheetData>
  <mergeCells count="1">
    <mergeCell ref="A4:B4"/>
  </mergeCells>
  <dataValidations count="1">
    <dataValidation allowBlank="true" errorStyle="stop" operator="between" showDropDown="false" showErrorMessage="false" showInputMessage="false" sqref="B7:B17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8.5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7" t="s">
        <v>110</v>
      </c>
      <c r="B4" s="7"/>
      <c r="C4" s="11"/>
      <c r="D4" s="11"/>
      <c r="E4" s="11"/>
      <c r="F4" s="11"/>
    </row>
    <row r="5" customFormat="false" ht="15" hidden="false" customHeight="true" outlineLevel="0" collapsed="false">
      <c r="A5" s="6" t="s">
        <v>21</v>
      </c>
      <c r="B5" s="6"/>
      <c r="C5" s="6"/>
      <c r="D5" s="6"/>
      <c r="E5" s="6"/>
      <c r="F5" s="6"/>
    </row>
    <row r="7" customFormat="false" ht="30" hidden="false" customHeight="true" outlineLevel="0" collapsed="false">
      <c r="A7" s="3" t="s">
        <v>111</v>
      </c>
      <c r="B7" s="3" t="s">
        <v>112</v>
      </c>
      <c r="C7" s="3" t="s">
        <v>113</v>
      </c>
      <c r="D7" s="3" t="s">
        <v>114</v>
      </c>
      <c r="E7" s="3" t="s">
        <v>115</v>
      </c>
      <c r="F7" s="3" t="s">
        <v>116</v>
      </c>
    </row>
    <row r="8" customFormat="false" ht="30" hidden="false" customHeight="true" outlineLevel="0" collapsed="false">
      <c r="A8" s="16" t="n">
        <v>1</v>
      </c>
      <c r="B8" s="5" t="s">
        <v>117</v>
      </c>
      <c r="C8" s="10"/>
      <c r="D8" s="10"/>
      <c r="E8" s="21" t="str">
        <f aca="true">IF(D8&lt;&gt;"","Fait",IF(C8="","",IF(C8&lt;TODAY(),"En retard","À venir")))</f>
        <v/>
      </c>
      <c r="F8" s="24"/>
    </row>
    <row r="9" customFormat="false" ht="30" hidden="false" customHeight="true" outlineLevel="0" collapsed="false">
      <c r="A9" s="16" t="n">
        <v>2</v>
      </c>
      <c r="B9" s="5" t="s">
        <v>118</v>
      </c>
      <c r="C9" s="10" t="n">
        <v>46387</v>
      </c>
      <c r="D9" s="10"/>
      <c r="E9" s="21" t="str">
        <f aca="true">IF(D9&lt;&gt;"","Fait",IF(C9="","",IF(C9&lt;TODAY(),"En retard","À venir")))</f>
        <v>À venir</v>
      </c>
      <c r="F9" s="24"/>
    </row>
    <row r="10" customFormat="false" ht="30" hidden="false" customHeight="true" outlineLevel="0" collapsed="false">
      <c r="A10" s="16" t="n">
        <v>3</v>
      </c>
      <c r="B10" s="5" t="s">
        <v>119</v>
      </c>
      <c r="C10" s="10" t="n">
        <v>46418</v>
      </c>
      <c r="D10" s="10"/>
      <c r="E10" s="21" t="str">
        <f aca="true">IF(D10&lt;&gt;"","Fait",IF(C10="","",IF(C10&lt;TODAY(),"En retard","À venir")))</f>
        <v>À venir</v>
      </c>
      <c r="F10" s="24"/>
    </row>
    <row r="11" customFormat="false" ht="30" hidden="false" customHeight="true" outlineLevel="0" collapsed="false">
      <c r="A11" s="16" t="n">
        <v>4</v>
      </c>
      <c r="B11" s="5" t="s">
        <v>120</v>
      </c>
      <c r="C11" s="10"/>
      <c r="D11" s="10"/>
      <c r="E11" s="21" t="str">
        <f aca="true">IF(D11&lt;&gt;"","Fait",IF(C11="","",IF(C11&lt;TODAY(),"En retard","À venir")))</f>
        <v/>
      </c>
      <c r="F11" s="24"/>
    </row>
    <row r="12" customFormat="false" ht="30" hidden="false" customHeight="true" outlineLevel="0" collapsed="false">
      <c r="A12" s="16" t="n">
        <v>5</v>
      </c>
      <c r="B12" s="5" t="s">
        <v>121</v>
      </c>
      <c r="C12" s="10"/>
      <c r="D12" s="10"/>
      <c r="E12" s="21" t="str">
        <f aca="true">IF(D12&lt;&gt;"","Fait",IF(C12="","",IF(C12&lt;TODAY(),"En retard","À venir")))</f>
        <v/>
      </c>
      <c r="F12" s="24"/>
    </row>
    <row r="13" customFormat="false" ht="30" hidden="false" customHeight="true" outlineLevel="0" collapsed="false">
      <c r="A13" s="16" t="n">
        <v>6</v>
      </c>
      <c r="B13" s="5" t="s">
        <v>122</v>
      </c>
      <c r="C13" s="10"/>
      <c r="D13" s="10"/>
      <c r="E13" s="21" t="str">
        <f aca="true">IF(D13&lt;&gt;"","Fait",IF(C13="","",IF(C13&lt;TODAY(),"En retard","À venir")))</f>
        <v/>
      </c>
      <c r="F13" s="24"/>
    </row>
    <row r="14" customFormat="false" ht="30" hidden="false" customHeight="true" outlineLevel="0" collapsed="false">
      <c r="A14" s="16" t="n">
        <v>7</v>
      </c>
      <c r="B14" s="5" t="s">
        <v>123</v>
      </c>
      <c r="C14" s="10"/>
      <c r="D14" s="10"/>
      <c r="E14" s="21" t="str">
        <f aca="true">IF(D14&lt;&gt;"","Fait",IF(C14="","",IF(C14&lt;TODAY(),"En retard","À venir")))</f>
        <v/>
      </c>
      <c r="F14" s="24"/>
    </row>
  </sheetData>
  <mergeCells count="3">
    <mergeCell ref="A4:B4"/>
    <mergeCell ref="C4:F4"/>
    <mergeCell ref="A5:F5"/>
  </mergeCells>
  <conditionalFormatting sqref="E8:E14">
    <cfRule type="expression" priority="2" aboveAverage="0" equalAverage="0" bottom="0" percent="0" rank="0" text="" dxfId="0">
      <formula>E8="En retard"</formula>
    </cfRule>
    <cfRule type="expression" priority="3" aboveAverage="0" equalAverage="0" bottom="0" percent="0" rank="0" text="" dxfId="1">
      <formula>E8="Fait"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18.5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48" hidden="false" customHeight="true" outlineLevel="0" collapsed="false">
      <c r="A4" s="25" t="s">
        <v>126</v>
      </c>
      <c r="B4" s="25"/>
      <c r="C4" s="25"/>
      <c r="D4" s="25"/>
    </row>
    <row r="6" customFormat="false" ht="15" hidden="false" customHeight="true" outlineLevel="0" collapsed="false">
      <c r="A6" s="15" t="s">
        <v>127</v>
      </c>
      <c r="B6" s="15"/>
      <c r="C6" s="15"/>
      <c r="D6" s="15"/>
    </row>
    <row r="7" customFormat="false" ht="30" hidden="false" customHeight="true" outlineLevel="0" collapsed="false">
      <c r="A7" s="3" t="s">
        <v>19</v>
      </c>
      <c r="B7" s="3" t="s">
        <v>128</v>
      </c>
    </row>
    <row r="8" customFormat="false" ht="15" hidden="false" customHeight="false" outlineLevel="0" collapsed="false">
      <c r="A8" s="16" t="s">
        <v>54</v>
      </c>
      <c r="B8" s="9" t="n">
        <v>2100000</v>
      </c>
    </row>
    <row r="9" customFormat="false" ht="15" hidden="false" customHeight="false" outlineLevel="0" collapsed="false">
      <c r="A9" s="16" t="s">
        <v>55</v>
      </c>
      <c r="B9" s="9" t="n">
        <v>2000000</v>
      </c>
    </row>
    <row r="10" customFormat="false" ht="15" hidden="false" customHeight="false" outlineLevel="0" collapsed="false">
      <c r="A10" s="16" t="s">
        <v>56</v>
      </c>
      <c r="B10" s="9" t="n">
        <v>2400000</v>
      </c>
    </row>
    <row r="11" customFormat="false" ht="15" hidden="false" customHeight="false" outlineLevel="0" collapsed="false">
      <c r="A11" s="16" t="s">
        <v>57</v>
      </c>
      <c r="B11" s="9" t="n">
        <v>2200000</v>
      </c>
    </row>
    <row r="12" customFormat="false" ht="15" hidden="false" customHeight="false" outlineLevel="0" collapsed="false">
      <c r="A12" s="16" t="s">
        <v>58</v>
      </c>
      <c r="B12" s="9" t="n">
        <v>2600000</v>
      </c>
    </row>
    <row r="13" customFormat="false" ht="15" hidden="false" customHeight="false" outlineLevel="0" collapsed="false">
      <c r="A13" s="16" t="s">
        <v>59</v>
      </c>
      <c r="B13" s="9" t="n">
        <v>2800000</v>
      </c>
    </row>
    <row r="14" customFormat="false" ht="15" hidden="false" customHeight="false" outlineLevel="0" collapsed="false">
      <c r="A14" s="16" t="s">
        <v>60</v>
      </c>
      <c r="B14" s="9" t="n">
        <v>3000000</v>
      </c>
    </row>
    <row r="15" customFormat="false" ht="15" hidden="false" customHeight="false" outlineLevel="0" collapsed="false">
      <c r="A15" s="16" t="s">
        <v>61</v>
      </c>
      <c r="B15" s="9" t="n">
        <v>2500000</v>
      </c>
    </row>
    <row r="16" customFormat="false" ht="15" hidden="false" customHeight="false" outlineLevel="0" collapsed="false">
      <c r="A16" s="16" t="s">
        <v>62</v>
      </c>
      <c r="B16" s="9" t="n">
        <v>2300000</v>
      </c>
    </row>
    <row r="17" customFormat="false" ht="15" hidden="false" customHeight="false" outlineLevel="0" collapsed="false">
      <c r="A17" s="16" t="s">
        <v>63</v>
      </c>
      <c r="B17" s="9" t="n">
        <v>2400000</v>
      </c>
    </row>
    <row r="18" customFormat="false" ht="15" hidden="false" customHeight="false" outlineLevel="0" collapsed="false">
      <c r="A18" s="16" t="s">
        <v>64</v>
      </c>
      <c r="B18" s="9" t="n">
        <v>2600000</v>
      </c>
    </row>
    <row r="19" customFormat="false" ht="15" hidden="false" customHeight="false" outlineLevel="0" collapsed="false">
      <c r="A19" s="16" t="s">
        <v>65</v>
      </c>
      <c r="B19" s="9" t="n">
        <v>2900000</v>
      </c>
    </row>
    <row r="20" customFormat="false" ht="15" hidden="false" customHeight="false" outlineLevel="0" collapsed="false">
      <c r="A20" s="13" t="s">
        <v>129</v>
      </c>
      <c r="B20" s="14" t="n">
        <f aca="false">SUM(B8:B19)</f>
        <v>29800000</v>
      </c>
    </row>
    <row r="21" customFormat="false" ht="15" hidden="false" customHeight="false" outlineLevel="0" collapsed="false">
      <c r="A21" s="16" t="s">
        <v>130</v>
      </c>
      <c r="B21" s="9" t="n">
        <v>100000</v>
      </c>
    </row>
    <row r="22" customFormat="false" ht="15" hidden="false" customHeight="false" outlineLevel="0" collapsed="false">
      <c r="A22" s="16" t="s">
        <v>131</v>
      </c>
      <c r="B22" s="17" t="n">
        <v>26</v>
      </c>
    </row>
    <row r="23" customFormat="false" ht="15" hidden="false" customHeight="false" outlineLevel="0" collapsed="false">
      <c r="A23" s="13" t="s">
        <v>132</v>
      </c>
      <c r="B23" s="14" t="n">
        <f aca="false">B21*B22*12</f>
        <v>31200000</v>
      </c>
    </row>
    <row r="24" customFormat="false" ht="15" hidden="false" customHeight="false" outlineLevel="0" collapsed="false">
      <c r="A24" s="13" t="s">
        <v>133</v>
      </c>
      <c r="B24" s="14" t="n">
        <f aca="false">B23-B20</f>
        <v>1400000</v>
      </c>
    </row>
    <row r="26" customFormat="false" ht="15" hidden="false" customHeight="true" outlineLevel="0" collapsed="false">
      <c r="A26" s="15" t="s">
        <v>134</v>
      </c>
      <c r="B26" s="15"/>
      <c r="C26" s="15"/>
      <c r="D26" s="15"/>
    </row>
    <row r="27" customFormat="false" ht="30" hidden="false" customHeight="true" outlineLevel="0" collapsed="false">
      <c r="A27" s="3" t="s">
        <v>73</v>
      </c>
      <c r="B27" s="3"/>
      <c r="C27" s="3" t="s">
        <v>74</v>
      </c>
    </row>
    <row r="28" customFormat="false" ht="15" hidden="false" customHeight="false" outlineLevel="0" collapsed="false">
      <c r="A28" s="16" t="s">
        <v>75</v>
      </c>
      <c r="B28" s="16"/>
      <c r="C28" s="26" t="n">
        <f aca="false">B20</f>
        <v>29800000</v>
      </c>
    </row>
    <row r="29" customFormat="false" ht="15" hidden="false" customHeight="false" outlineLevel="0" collapsed="false">
      <c r="A29" s="16" t="s">
        <v>76</v>
      </c>
      <c r="B29" s="16"/>
      <c r="C29" s="9" t="n">
        <v>24100000</v>
      </c>
    </row>
    <row r="30" customFormat="false" ht="15" hidden="false" customHeight="false" outlineLevel="0" collapsed="false">
      <c r="A30" s="16" t="s">
        <v>66</v>
      </c>
      <c r="B30" s="16"/>
      <c r="C30" s="9" t="n">
        <v>4500000</v>
      </c>
    </row>
    <row r="31" customFormat="false" ht="15" hidden="false" customHeight="false" outlineLevel="0" collapsed="false">
      <c r="A31" s="16" t="s">
        <v>67</v>
      </c>
      <c r="B31" s="16"/>
      <c r="C31" s="9" t="n">
        <v>5200000</v>
      </c>
    </row>
    <row r="32" customFormat="false" ht="15" hidden="false" customHeight="false" outlineLevel="0" collapsed="false">
      <c r="A32" s="16" t="s">
        <v>77</v>
      </c>
      <c r="B32" s="16"/>
      <c r="C32" s="9" t="n">
        <v>900000</v>
      </c>
    </row>
    <row r="33" customFormat="false" ht="15" hidden="false" customHeight="false" outlineLevel="0" collapsed="false">
      <c r="A33" s="16" t="s">
        <v>78</v>
      </c>
      <c r="B33" s="16"/>
      <c r="C33" s="9" t="n">
        <v>600000</v>
      </c>
    </row>
    <row r="34" customFormat="false" ht="15" hidden="false" customHeight="false" outlineLevel="0" collapsed="false">
      <c r="A34" s="16" t="s">
        <v>79</v>
      </c>
      <c r="B34" s="16"/>
      <c r="C34" s="17" t="n">
        <v>1</v>
      </c>
    </row>
    <row r="35" customFormat="false" ht="15" hidden="false" customHeight="false" outlineLevel="0" collapsed="false">
      <c r="A35" s="16" t="s">
        <v>80</v>
      </c>
      <c r="B35" s="16"/>
      <c r="C35" s="19" t="s">
        <v>135</v>
      </c>
    </row>
    <row r="37" customFormat="false" ht="15" hidden="false" customHeight="true" outlineLevel="0" collapsed="false">
      <c r="A37" s="15" t="s">
        <v>81</v>
      </c>
      <c r="B37" s="15"/>
      <c r="C37" s="15"/>
    </row>
    <row r="38" customFormat="false" ht="27.75" hidden="false" customHeight="true" outlineLevel="0" collapsed="false">
      <c r="A38" s="20" t="s">
        <v>82</v>
      </c>
      <c r="B38" s="20"/>
      <c r="C38" s="14" t="n">
        <f aca="false">C30+C29-C31</f>
        <v>23400000</v>
      </c>
    </row>
    <row r="39" customFormat="false" ht="27.75" hidden="false" customHeight="true" outlineLevel="0" collapsed="false">
      <c r="A39" s="20" t="s">
        <v>83</v>
      </c>
      <c r="B39" s="20"/>
      <c r="C39" s="14" t="n">
        <f aca="false">C28-C38</f>
        <v>6400000</v>
      </c>
    </row>
    <row r="40" customFormat="false" ht="27.75" hidden="false" customHeight="true" outlineLevel="0" collapsed="false">
      <c r="A40" s="20" t="s">
        <v>69</v>
      </c>
      <c r="B40" s="20"/>
      <c r="C40" s="18" t="n">
        <f aca="false">IF(C28=0,"",C39/C28)</f>
        <v>0.214765100671141</v>
      </c>
    </row>
    <row r="41" customFormat="false" ht="15" hidden="false" customHeight="false" outlineLevel="0" collapsed="false">
      <c r="A41" s="16" t="s">
        <v>84</v>
      </c>
      <c r="B41" s="16"/>
      <c r="C41" s="21" t="str">
        <f aca="false">IF(C40="","",IF(C40&lt;0,"Marge négative : vérifier",IF(C40&gt;0.5,"Marge très élevée : vérifier","Plausible")))</f>
        <v>Plausible</v>
      </c>
    </row>
    <row r="43" customFormat="false" ht="15" hidden="false" customHeight="true" outlineLevel="0" collapsed="false">
      <c r="A43" s="15" t="s">
        <v>85</v>
      </c>
      <c r="B43" s="15"/>
      <c r="C43" s="15"/>
    </row>
    <row r="44" customFormat="false" ht="15" hidden="false" customHeight="false" outlineLevel="0" collapsed="false">
      <c r="A44" s="16" t="s">
        <v>86</v>
      </c>
      <c r="B44" s="16"/>
      <c r="C44" s="9"/>
    </row>
    <row r="45" customFormat="false" ht="15" hidden="false" customHeight="false" outlineLevel="0" collapsed="false">
      <c r="A45" s="16" t="s">
        <v>87</v>
      </c>
      <c r="B45" s="16"/>
      <c r="C45" s="22" t="n">
        <v>0.02</v>
      </c>
    </row>
    <row r="46" customFormat="false" ht="15" hidden="false" customHeight="false" outlineLevel="0" collapsed="false">
      <c r="A46" s="16" t="s">
        <v>88</v>
      </c>
      <c r="B46" s="16"/>
      <c r="C46" s="9"/>
    </row>
    <row r="47" customFormat="false" ht="15" hidden="false" customHeight="false" outlineLevel="0" collapsed="false">
      <c r="A47" s="13" t="s">
        <v>89</v>
      </c>
      <c r="B47" s="13"/>
      <c r="C47" s="14" t="str">
        <f aca="false">IF(C44="","",C44-C28)</f>
        <v/>
      </c>
    </row>
    <row r="48" customFormat="false" ht="15" hidden="false" customHeight="false" outlineLevel="0" collapsed="false">
      <c r="A48" s="13" t="s">
        <v>90</v>
      </c>
      <c r="B48" s="13"/>
      <c r="C48" s="14" t="n">
        <f aca="false">IF(C45="","",MAX(C28*C45,N(C46)))</f>
        <v>596000</v>
      </c>
    </row>
    <row r="49" customFormat="false" ht="30" hidden="false" customHeight="true" outlineLevel="0" collapsed="false">
      <c r="A49" s="6" t="s">
        <v>136</v>
      </c>
      <c r="B49" s="6"/>
      <c r="C49" s="6"/>
      <c r="D49" s="6"/>
    </row>
    <row r="51" customFormat="false" ht="15" hidden="false" customHeight="true" outlineLevel="0" collapsed="false">
      <c r="A51" s="15" t="s">
        <v>137</v>
      </c>
      <c r="B51" s="15"/>
      <c r="C51" s="15"/>
      <c r="D51" s="15"/>
    </row>
    <row r="52" customFormat="false" ht="30" hidden="false" customHeight="true" outlineLevel="0" collapsed="false">
      <c r="A52" s="3" t="s">
        <v>138</v>
      </c>
      <c r="B52" s="3" t="s">
        <v>139</v>
      </c>
      <c r="C52" s="3" t="s">
        <v>140</v>
      </c>
      <c r="D52" s="3"/>
    </row>
    <row r="53" customFormat="false" ht="30" hidden="false" customHeight="true" outlineLevel="0" collapsed="false">
      <c r="A53" s="27" t="s">
        <v>141</v>
      </c>
      <c r="B53" s="9" t="n">
        <v>350000</v>
      </c>
      <c r="C53" s="27" t="s">
        <v>142</v>
      </c>
      <c r="D53" s="27"/>
    </row>
    <row r="54" customFormat="false" ht="30" hidden="false" customHeight="true" outlineLevel="0" collapsed="false">
      <c r="A54" s="27" t="s">
        <v>143</v>
      </c>
      <c r="B54" s="9" t="n">
        <v>1200000</v>
      </c>
      <c r="C54" s="27" t="s">
        <v>144</v>
      </c>
      <c r="D54" s="27"/>
    </row>
    <row r="55" customFormat="false" ht="30" hidden="false" customHeight="true" outlineLevel="0" collapsed="false">
      <c r="A55" s="27" t="s">
        <v>145</v>
      </c>
      <c r="B55" s="9"/>
      <c r="C55" s="27" t="s">
        <v>146</v>
      </c>
      <c r="D55" s="27"/>
    </row>
    <row r="57" customFormat="false" ht="15" hidden="false" customHeight="false" outlineLevel="0" collapsed="false">
      <c r="A57" s="13" t="s">
        <v>147</v>
      </c>
      <c r="B57" s="13"/>
      <c r="C57" s="14" t="n">
        <f aca="false">C29-B53</f>
        <v>23750000</v>
      </c>
    </row>
    <row r="58" customFormat="false" ht="15" hidden="false" customHeight="false" outlineLevel="0" collapsed="false">
      <c r="A58" s="13" t="s">
        <v>148</v>
      </c>
      <c r="B58" s="13"/>
      <c r="C58" s="14" t="n">
        <f aca="false">C30+C57-C31</f>
        <v>23050000</v>
      </c>
    </row>
    <row r="59" customFormat="false" ht="15" hidden="false" customHeight="false" outlineLevel="0" collapsed="false">
      <c r="A59" s="13" t="s">
        <v>149</v>
      </c>
      <c r="B59" s="13"/>
      <c r="C59" s="14" t="n">
        <f aca="false">C28-C58</f>
        <v>6750000</v>
      </c>
    </row>
    <row r="60" customFormat="false" ht="15" hidden="false" customHeight="false" outlineLevel="0" collapsed="false">
      <c r="A60" s="13" t="s">
        <v>150</v>
      </c>
      <c r="B60" s="13"/>
      <c r="C60" s="18" t="n">
        <f aca="false">C59/C28</f>
        <v>0.226510067114094</v>
      </c>
    </row>
    <row r="61" customFormat="false" ht="15" hidden="false" customHeight="false" outlineLevel="0" collapsed="false">
      <c r="A61" s="13" t="s">
        <v>151</v>
      </c>
      <c r="B61" s="13"/>
      <c r="C61" s="14" t="n">
        <f aca="false">C28*C45</f>
        <v>596000</v>
      </c>
    </row>
    <row r="62" customFormat="false" ht="15" hidden="false" customHeight="false" outlineLevel="0" collapsed="false">
      <c r="A62" s="13" t="s">
        <v>152</v>
      </c>
      <c r="B62" s="13"/>
      <c r="C62" s="14" t="n">
        <f aca="false">B23*C45</f>
        <v>624000</v>
      </c>
    </row>
  </sheetData>
  <mergeCells count="35">
    <mergeCell ref="A4:D4"/>
    <mergeCell ref="A6:D6"/>
    <mergeCell ref="A26:D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7:C37"/>
    <mergeCell ref="A38:B38"/>
    <mergeCell ref="A39:B39"/>
    <mergeCell ref="A40:B40"/>
    <mergeCell ref="A41:B41"/>
    <mergeCell ref="A43:C43"/>
    <mergeCell ref="A44:B44"/>
    <mergeCell ref="A45:B45"/>
    <mergeCell ref="A46:B46"/>
    <mergeCell ref="A47:B47"/>
    <mergeCell ref="A48:B48"/>
    <mergeCell ref="A49:D49"/>
    <mergeCell ref="A51:D51"/>
    <mergeCell ref="C52:D52"/>
    <mergeCell ref="C53:D53"/>
    <mergeCell ref="C54:D54"/>
    <mergeCell ref="C55:D55"/>
    <mergeCell ref="A57:B57"/>
    <mergeCell ref="A58:B58"/>
    <mergeCell ref="A59:B59"/>
    <mergeCell ref="A60:B60"/>
    <mergeCell ref="A61:B61"/>
    <mergeCell ref="A62:B62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2026-10-30T12:57:22Z</dcterms:created>
  <dc:creator>openpyxl</dc:creator>
  <dc:description/>
  <dc:language>en-US</dc:language>
  <cp:lastModifiedBy/>
  <dcterms:modified xsi:type="dcterms:W3CDTF">2026-10-30T12:57:22Z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