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_d_emploi" sheetId="1" state="visible" r:id="rId3"/>
    <sheet name="SWOT" sheetId="2" state="visible" r:id="rId4"/>
    <sheet name="Objectifs_SMART" sheetId="3" state="visible" r:id="rId5"/>
    <sheet name="Plan_action" sheetId="4" state="visible" r:id="rId6"/>
    <sheet name="Plan_affaires" sheetId="5" state="visible" r:id="rId7"/>
    <sheet name="Cas_Modou" sheetId="6" state="visible" r:id="rId8"/>
    <sheet name="Cas_Modou_objectifs" sheetId="7" state="visible" r:id="rId9"/>
  </sheets>
  <definedNames>
    <definedName function="false" hidden="false" localSheetId="3" name="_xlnm.Print_Titles" vbProcedure="false">Plan_action!$8:$8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<sst xmlns="http://schemas.openxmlformats.org/spreadsheetml/2006/main" count="180" uniqueCount="130">
  <si>
    <t xml:space="preserve">MC4 · Fixer son cap : objectifs et plan d'action</t>
  </si>
  <si>
    <t xml:space="preserve">Outils participants · TAXAWU PME Module 2 · CADE / CCIAK</t>
  </si>
  <si>
    <t xml:space="preserve">Onglet</t>
  </si>
  <si>
    <t xml:space="preserve">Usage</t>
  </si>
  <si>
    <t xml:space="preserve">SWOT</t>
  </si>
  <si>
    <t xml:space="preserve">Classer forces, faiblesses, opportunités et menaces, puis écrire les décisions croisées.</t>
  </si>
  <si>
    <t xml:space="preserve">Objectifs_SMART</t>
  </si>
  <si>
    <t xml:space="preserve">Trois objectifs au plus ; vérifier les cinq critères ; suivre le chiffre réel chaque mois.</t>
  </si>
  <si>
    <t xml:space="preserve">Plan_action</t>
  </si>
  <si>
    <t xml:space="preserve">Les actions de chaque objectif : responsable, dates, coût, preuve. Le calendrier se colore tout seul.</t>
  </si>
  <si>
    <t xml:space="preserve">Plan_affaires</t>
  </si>
  <si>
    <t xml:space="preserve">Questions guides et chiffres clés pour actualiser le plan d'affaires (segment C).</t>
  </si>
  <si>
    <t xml:space="preserve">Cas_Modou</t>
  </si>
  <si>
    <t xml:space="preserve">Le cas pratique de la séance, avec un corrigé possible.</t>
  </si>
  <si>
    <t xml:space="preserve">Cellules jaunes à texte bleu : à remplir. Cellules blanches : calculées. Revue du plan : trente minutes, chaque mois, à date fixe.</t>
  </si>
  <si>
    <t xml:space="preserve">Grille SWOT</t>
  </si>
  <si>
    <t xml:space="preserve">Dedans : ce qui dépend de moi · dehors : ce qui ne dépend pas de moi</t>
  </si>
  <si>
    <t xml:space="preserve">Entreprise</t>
  </si>
  <si>
    <t xml:space="preserve">Forces · dedans, favorable</t>
  </si>
  <si>
    <t xml:space="preserve">Faiblesses · dedans, défavorable</t>
  </si>
  <si>
    <t xml:space="preserve">Opportunités · dehors, favorable</t>
  </si>
  <si>
    <t xml:space="preserve">Menaces · dehors, défavorable</t>
  </si>
  <si>
    <t xml:space="preserve">Décisions croisées</t>
  </si>
  <si>
    <t xml:space="preserve">Ce que je décide</t>
  </si>
  <si>
    <t xml:space="preserve">Force + opportunité : quelle force pour saisir quelle opportunité ?</t>
  </si>
  <si>
    <t xml:space="preserve">Faiblesse qui bloque une opportunité : que corriger d'abord ?</t>
  </si>
  <si>
    <t xml:space="preserve">Force contre menace : comment me protéger ?</t>
  </si>
  <si>
    <t xml:space="preserve">Faiblesse face à une menace : quel risque réduire en priorité ?</t>
  </si>
  <si>
    <t xml:space="preserve">Objectifs SMART</t>
  </si>
  <si>
    <t xml:space="preserve">Trois objectifs au plus · Spécifique, Mesurable, Atteignable, Réaliste, Temporel</t>
  </si>
  <si>
    <t xml:space="preserve">Cellules jaunes à texte bleu : à remplir. Cellules blanches : calculées automatiquement, ne pas modifier.</t>
  </si>
  <si>
    <t xml:space="preserve">N°</t>
  </si>
  <si>
    <t xml:space="preserve">Objectif (une phrase)</t>
  </si>
  <si>
    <t xml:space="preserve">Indicateur (le chiffre suivi)</t>
  </si>
  <si>
    <t xml:space="preserve">Valeur de départ</t>
  </si>
  <si>
    <t xml:space="preserve">Cible</t>
  </si>
  <si>
    <t xml:space="preserve">Date limite</t>
  </si>
  <si>
    <t xml:space="preserve">S</t>
  </si>
  <si>
    <t xml:space="preserve">M</t>
  </si>
  <si>
    <t xml:space="preserve">A</t>
  </si>
  <si>
    <t xml:space="preserve">R</t>
  </si>
  <si>
    <t xml:space="preserve">T</t>
  </si>
  <si>
    <t xml:space="preserve">Objectif SMART ?</t>
  </si>
  <si>
    <t xml:space="preserve">Dernière valeur réelle</t>
  </si>
  <si>
    <t xml:space="preserve">Progression</t>
  </si>
  <si>
    <t xml:space="preserve">S : qu'est-ce que je veux exactement ? M : avec quel chiffre ? A : en ai-je les moyens ? R : est-ce cohérent avec mes résultats passés ? T : pour quelle date ? Progression = chemin parcouru entre la valeur de départ et la cible.</t>
  </si>
  <si>
    <t xml:space="preserve">Plan d'action sur 12 mois</t>
  </si>
  <si>
    <t xml:space="preserve">Une ligne par action · revue chaque mois</t>
  </si>
  <si>
    <t xml:space="preserve">Premier mois du plan</t>
  </si>
  <si>
    <t xml:space="preserve">Obj.</t>
  </si>
  <si>
    <t xml:space="preserve">Action</t>
  </si>
  <si>
    <t xml:space="preserve">Responsable</t>
  </si>
  <si>
    <t xml:space="preserve">Début</t>
  </si>
  <si>
    <t xml:space="preserve">Fin</t>
  </si>
  <si>
    <t xml:space="preserve">Coût (FCFA)</t>
  </si>
  <si>
    <t xml:space="preserve">Comment vérifier</t>
  </si>
  <si>
    <t xml:space="preserve">Statut</t>
  </si>
  <si>
    <t xml:space="preserve">Coût total du plan</t>
  </si>
  <si>
    <t xml:space="preserve">Actions faites</t>
  </si>
  <si>
    <t xml:space="preserve">Canevas de plan d'affaires</t>
  </si>
  <si>
    <t xml:space="preserve">Pour actualiser le plan d'affaires et chiffrer un investissement · segment C</t>
  </si>
  <si>
    <t xml:space="preserve">Partie</t>
  </si>
  <si>
    <t xml:space="preserve">Questions guides et contenu attendu</t>
  </si>
  <si>
    <t xml:space="preserve">1. L'entreprise aujourd'hui</t>
  </si>
  <si>
    <t xml:space="preserve">Activité, date de création, forme juridique, NINEA, RCCM, effectifs, localisation, produits et services, chiffres de l'année écoulée (ventes, résultat).</t>
  </si>
  <si>
    <t xml:space="preserve">2. Le marché</t>
  </si>
  <si>
    <t xml:space="preserve">Qui sont les clients (client cible, MC3) ? Combien sont-ils ? Qui sont les concurrents ? Quels prix pratiquent-ils ? Citer les sources des chiffres.</t>
  </si>
  <si>
    <t xml:space="preserve">3. Le projet</t>
  </si>
  <si>
    <t xml:space="preserve">Ce qui va changer : nouvel équipement, nouveau produit, nouveau local, nouveau marché. Pourquoi maintenant (grille SWOT) ?</t>
  </si>
  <si>
    <t xml:space="preserve">4. Les objectifs</t>
  </si>
  <si>
    <t xml:space="preserve">Les objectifs SMART à 12 mois et à 3 ans.</t>
  </si>
  <si>
    <t xml:space="preserve">5. L'organisation</t>
  </si>
  <si>
    <t xml:space="preserve">Qui fait quoi ; postes à créer ; formation nécessaire (MC5).</t>
  </si>
  <si>
    <t xml:space="preserve">6. Les besoins et le financement</t>
  </si>
  <si>
    <t xml:space="preserve">Coût total du projet, apport, crédit, subvention (plan de financement, MC2).</t>
  </si>
  <si>
    <t xml:space="preserve">7. Les prévisions</t>
  </si>
  <si>
    <t xml:space="preserve">Compte de résultat prévisionnel sur 3 ans ; plan de trésorerie sur 12 mois ; capacité de remboursement.</t>
  </si>
  <si>
    <t xml:space="preserve">8. Les risques</t>
  </si>
  <si>
    <t xml:space="preserve">Ce qui peut mal tourner et ce qui est prévu (menaces de la grille SWOT).</t>
  </si>
  <si>
    <t xml:space="preserve">Chiffres clés à actualiser</t>
  </si>
  <si>
    <t xml:space="preserve">Valeur</t>
  </si>
  <si>
    <t xml:space="preserve">Ventes de la dernière année (FCFA)</t>
  </si>
  <si>
    <t xml:space="preserve">Résultat de la dernière année (FCFA)</t>
  </si>
  <si>
    <t xml:space="preserve">Effectif permanent</t>
  </si>
  <si>
    <t xml:space="preserve">Coût total du projet (FCFA)</t>
  </si>
  <si>
    <t xml:space="preserve">Apport personnel (FCFA)</t>
  </si>
  <si>
    <t xml:space="preserve">Crédit demandé (FCFA)</t>
  </si>
  <si>
    <t xml:space="preserve">Ventes prévues en année 1 (FCFA)</t>
  </si>
  <si>
    <t xml:space="preserve">Ventes prévues en année 3 (FCFA)</t>
  </si>
  <si>
    <t xml:space="preserve">Part de l'apport dans le projet</t>
  </si>
  <si>
    <t xml:space="preserve">Croissance des ventes année 1 / dernière année</t>
  </si>
  <si>
    <t xml:space="preserve">Cas pratique · Modou, menuisier métallique à Kaolack</t>
  </si>
  <si>
    <t xml:space="preserve">Un corrigé possible · montants illustratifs</t>
  </si>
  <si>
    <t xml:space="preserve">Quinze ans de métier, deux ouvriers, deux apprentis, environ 800 000 FCFA de ventes par mois. Sa réponse à la question d'accroche : « Je veux grandir. »</t>
  </si>
  <si>
    <t xml:space="preserve">Quinze ans d'expérience, réputation de travail solide</t>
  </si>
  <si>
    <t xml:space="preserve">Pas de cahier de caisse ni de devis écrits</t>
  </si>
  <si>
    <t xml:space="preserve">Deux entrepreneurs du bâtiment clients réguliers</t>
  </si>
  <si>
    <t xml:space="preserve">Poste à souder ancien, pannes fréquentes</t>
  </si>
  <si>
    <t xml:space="preserve">Atelier sur un grand terrain en bord de route</t>
  </si>
  <si>
    <t xml:space="preserve">Modou fait tout lui-même : absent, l'atelier s'arrête</t>
  </si>
  <si>
    <t xml:space="preserve">Nouveaux lotissements : des centaines de maisons en construction</t>
  </si>
  <si>
    <t xml:space="preserve">Hausse du prix du fer et des tubes</t>
  </si>
  <si>
    <t xml:space="preserve">Commandes publiques ouvertes aux petites entreprises</t>
  </si>
  <si>
    <t xml:space="preserve">Coupures d'électricité dans le quartier</t>
  </si>
  <si>
    <t xml:space="preserve">Programmes de financement d'équipement pour artisans</t>
  </si>
  <si>
    <t xml:space="preserve">Portails importés finis, vendus moins cher</t>
  </si>
  <si>
    <t xml:space="preserve">Cas Modou · objectifs SMART et plan d'action</t>
  </si>
  <si>
    <t xml:space="preserve">Un corrigé possible</t>
  </si>
  <si>
    <t xml:space="preserve">Porter les ventes à 1 000 000 FCFA par mois grâce aux portails et fenêtres pour les lotissements</t>
  </si>
  <si>
    <t xml:space="preserve">Ventes du mois (FCFA)</t>
  </si>
  <si>
    <t xml:space="preserve">Oui</t>
  </si>
  <si>
    <t xml:space="preserve">Remplacer le poste à souder (environ 1 200 000 FCFA, 30 % sur fonds propres)</t>
  </si>
  <si>
    <t xml:space="preserve">Poste neuf installé (0 ou 1)</t>
  </si>
  <si>
    <t xml:space="preserve">Former un ouvrier capable de diriger l'atelier en l'absence de Modou</t>
  </si>
  <si>
    <t xml:space="preserve">Jours de fonctionnement sans Modou par mois</t>
  </si>
  <si>
    <t xml:space="preserve">Photographier dix modèles et préparer un catalogue avec prix (papier et WhatsApp)</t>
  </si>
  <si>
    <t xml:space="preserve">Modou</t>
  </si>
  <si>
    <t xml:space="preserve">Catalogue imprimé et en ligne</t>
  </si>
  <si>
    <t xml:space="preserve">En cours</t>
  </si>
  <si>
    <t xml:space="preserve">Visiter vingt chantiers dans les lotissements et laisser le catalogue</t>
  </si>
  <si>
    <t xml:space="preserve">Modou et 1er ouvrier</t>
  </si>
  <si>
    <t xml:space="preserve">Liste de vingt contacts</t>
  </si>
  <si>
    <t xml:space="preserve">À faire</t>
  </si>
  <si>
    <t xml:space="preserve">Devis écrit pour chaque demande, acompte de 50 % à la commande</t>
  </si>
  <si>
    <t xml:space="preserve">Carnet de devis numérotés</t>
  </si>
  <si>
    <t xml:space="preserve">Négocier un prix de gros pour le fer avec les deux entrepreneurs</t>
  </si>
  <si>
    <t xml:space="preserve">Remise obtenue par écrit</t>
  </si>
  <si>
    <t xml:space="preserve">Comparer chaque mois les ventes réelles avec l'objectif</t>
  </si>
  <si>
    <t xml:space="preserve">Modou et conseiller</t>
  </si>
  <si>
    <t xml:space="preserve">Ventes mensuelles notées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</si>
</sst>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-#,##0;\-"/>
    <numFmt numFmtId="166" formatCode="dd/mm/yyyy"/>
    <numFmt numFmtId="167" formatCode="@"/>
    <numFmt numFmtId="168" formatCode="0%"/>
    <numFmt numFmtId="169" formatCode="mmm\ yyyy"/>
    <numFmt numFmtId="170" formatCode="mmm"/>
    <numFmt numFmtId="171" formatCode="dd/mm/yy"/>
    <numFmt numFmtId="172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342C"/>
      <name val="Arial"/>
      <family val="0"/>
      <charset val="1"/>
    </font>
    <font>
      <i val="true"/>
      <sz val="9"/>
      <color rgb="FF5665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7342C"/>
      <name val="Arial"/>
      <family val="0"/>
      <charset val="1"/>
    </font>
    <font>
      <sz val="10"/>
      <color rgb="FF1824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42C"/>
        <bgColor rgb="FF18241F"/>
      </patternFill>
    </fill>
    <fill>
      <patternFill patternType="solid">
        <fgColor rgb="FFEAEEE8"/>
        <bgColor rgb="FFF6E7D2"/>
      </patternFill>
    </fill>
    <fill>
      <patternFill patternType="solid">
        <fgColor rgb="FFFFF6DC"/>
        <bgColor rgb="FFF6E7D2"/>
      </patternFill>
    </fill>
    <fill>
      <patternFill patternType="solid">
        <fgColor rgb="FFF6E7D2"/>
        <bgColor rgb="FFEAEE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BC"/>
      </left>
      <right style="thin">
        <color rgb="FFB7C2BC"/>
      </right>
      <top style="thin">
        <color rgb="FFB7C2BC"/>
      </top>
      <bottom style="thin">
        <color rgb="FFB7C2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FE3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2BC"/>
      <rgbColor rgb="FF808080"/>
      <rgbColor rgb="FF9999FF"/>
      <rgbColor rgb="FF993366"/>
      <rgbColor rgb="FFFFF6DC"/>
      <rgbColor rgb="FFEAEE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3D8"/>
      <rgbColor rgb="FFF6E7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55F"/>
      <rgbColor rgb="FF969696"/>
      <rgbColor rgb="FF003366"/>
      <rgbColor rgb="FF339966"/>
      <rgbColor rgb="FF18241F"/>
      <rgbColor rgb="FF333300"/>
      <rgbColor rgb="FF993300"/>
      <rgbColor rgb="FF993366"/>
      <rgbColor rgb="FF333399"/>
      <rgbColor rgb="FF1734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30" hidden="false" customHeight="true" outlineLevel="0" collapsed="false">
      <c r="A5" s="3" t="s">
        <v>2</v>
      </c>
      <c r="B5" s="3" t="s">
        <v>3</v>
      </c>
    </row>
    <row r="6" customFormat="false" ht="30" hidden="false" customHeight="true" outlineLevel="0" collapsed="false">
      <c r="A6" s="4" t="s">
        <v>4</v>
      </c>
      <c r="B6" s="5" t="s">
        <v>5</v>
      </c>
    </row>
    <row r="7" customFormat="false" ht="30" hidden="false" customHeight="true" outlineLevel="0" collapsed="false">
      <c r="A7" s="4" t="s">
        <v>6</v>
      </c>
      <c r="B7" s="5" t="s">
        <v>7</v>
      </c>
    </row>
    <row r="8" customFormat="false" ht="30" hidden="false" customHeight="true" outlineLevel="0" collapsed="false">
      <c r="A8" s="4" t="s">
        <v>8</v>
      </c>
      <c r="B8" s="5" t="s">
        <v>9</v>
      </c>
    </row>
    <row r="9" customFormat="false" ht="30" hidden="false" customHeight="true" outlineLevel="0" collapsed="false">
      <c r="A9" s="4" t="s">
        <v>10</v>
      </c>
      <c r="B9" s="5" t="s">
        <v>11</v>
      </c>
    </row>
    <row r="10" customFormat="false" ht="30" hidden="false" customHeight="true" outlineLevel="0" collapsed="false">
      <c r="A10" s="4" t="s">
        <v>12</v>
      </c>
      <c r="B10" s="5" t="s">
        <v>13</v>
      </c>
    </row>
    <row r="12" customFormat="false" ht="15" hidden="false" customHeight="true" outlineLevel="0" collapsed="false">
      <c r="A12" s="6" t="s">
        <v>14</v>
      </c>
      <c r="B12" s="6"/>
    </row>
  </sheetData>
  <mergeCells count="1">
    <mergeCell ref="A12:B12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18.5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false" outlineLevel="0" collapsed="false">
      <c r="A4" s="7" t="s">
        <v>17</v>
      </c>
      <c r="B4" s="8"/>
      <c r="C4" s="8"/>
      <c r="D4" s="8"/>
    </row>
    <row r="6" customFormat="false" ht="15" hidden="false" customHeight="false" outlineLevel="0" collapsed="false">
      <c r="A6" s="9" t="s">
        <v>18</v>
      </c>
      <c r="B6" s="9"/>
      <c r="C6" s="9" t="s">
        <v>19</v>
      </c>
      <c r="D6" s="9"/>
    </row>
    <row r="7" customFormat="false" ht="30" hidden="false" customHeight="true" outlineLevel="0" collapsed="false">
      <c r="A7" s="10"/>
      <c r="B7" s="10"/>
      <c r="C7" s="10"/>
      <c r="D7" s="10"/>
    </row>
    <row r="8" customFormat="false" ht="30" hidden="false" customHeight="true" outlineLevel="0" collapsed="false">
      <c r="A8" s="10"/>
      <c r="B8" s="10"/>
      <c r="C8" s="10"/>
      <c r="D8" s="10"/>
    </row>
    <row r="9" customFormat="false" ht="30" hidden="false" customHeight="true" outlineLevel="0" collapsed="false">
      <c r="A9" s="10"/>
      <c r="B9" s="10"/>
      <c r="C9" s="10"/>
      <c r="D9" s="10"/>
    </row>
    <row r="10" customFormat="false" ht="30" hidden="false" customHeight="true" outlineLevel="0" collapsed="false">
      <c r="A10" s="10"/>
      <c r="B10" s="10"/>
      <c r="C10" s="10"/>
      <c r="D10" s="10"/>
    </row>
    <row r="11" customFormat="false" ht="30" hidden="false" customHeight="true" outlineLevel="0" collapsed="false">
      <c r="A11" s="10"/>
      <c r="B11" s="10"/>
      <c r="C11" s="10"/>
      <c r="D11" s="10"/>
    </row>
    <row r="12" customFormat="false" ht="30" hidden="false" customHeight="true" outlineLevel="0" collapsed="false">
      <c r="A12" s="10"/>
      <c r="B12" s="10"/>
      <c r="C12" s="10"/>
      <c r="D12" s="10"/>
    </row>
    <row r="14" customFormat="false" ht="15" hidden="false" customHeight="false" outlineLevel="0" collapsed="false">
      <c r="A14" s="9" t="s">
        <v>20</v>
      </c>
      <c r="B14" s="9"/>
      <c r="C14" s="9" t="s">
        <v>21</v>
      </c>
      <c r="D14" s="9"/>
    </row>
    <row r="15" customFormat="false" ht="30" hidden="false" customHeight="true" outlineLevel="0" collapsed="false">
      <c r="A15" s="10"/>
      <c r="B15" s="10"/>
      <c r="C15" s="10"/>
      <c r="D15" s="10"/>
    </row>
    <row r="16" customFormat="false" ht="30" hidden="false" customHeight="true" outlineLevel="0" collapsed="false">
      <c r="A16" s="10"/>
      <c r="B16" s="10"/>
      <c r="C16" s="10"/>
      <c r="D16" s="10"/>
    </row>
    <row r="17" customFormat="false" ht="30" hidden="false" customHeight="true" outlineLevel="0" collapsed="false">
      <c r="A17" s="10"/>
      <c r="B17" s="10"/>
      <c r="C17" s="10"/>
      <c r="D17" s="10"/>
    </row>
    <row r="18" customFormat="false" ht="30" hidden="false" customHeight="true" outlineLevel="0" collapsed="false">
      <c r="A18" s="10"/>
      <c r="B18" s="10"/>
      <c r="C18" s="10"/>
      <c r="D18" s="10"/>
    </row>
    <row r="19" customFormat="false" ht="30" hidden="false" customHeight="true" outlineLevel="0" collapsed="false">
      <c r="A19" s="10"/>
      <c r="B19" s="10"/>
      <c r="C19" s="10"/>
      <c r="D19" s="10"/>
    </row>
    <row r="20" customFormat="false" ht="30" hidden="false" customHeight="true" outlineLevel="0" collapsed="false">
      <c r="A20" s="10"/>
      <c r="B20" s="10"/>
      <c r="C20" s="10"/>
      <c r="D20" s="10"/>
    </row>
    <row r="22" customFormat="false" ht="30" hidden="false" customHeight="true" outlineLevel="0" collapsed="false">
      <c r="A22" s="3" t="s">
        <v>22</v>
      </c>
      <c r="B22" s="3" t="s">
        <v>23</v>
      </c>
      <c r="C22" s="3"/>
      <c r="D22" s="3"/>
    </row>
    <row r="23" customFormat="false" ht="36" hidden="false" customHeight="true" outlineLevel="0" collapsed="false">
      <c r="A23" s="5" t="s">
        <v>24</v>
      </c>
      <c r="B23" s="8"/>
      <c r="C23" s="8"/>
      <c r="D23" s="8"/>
    </row>
    <row r="24" customFormat="false" ht="36" hidden="false" customHeight="true" outlineLevel="0" collapsed="false">
      <c r="A24" s="5" t="s">
        <v>25</v>
      </c>
      <c r="B24" s="8"/>
      <c r="C24" s="8"/>
      <c r="D24" s="8"/>
    </row>
    <row r="25" customFormat="false" ht="36" hidden="false" customHeight="true" outlineLevel="0" collapsed="false">
      <c r="A25" s="5" t="s">
        <v>26</v>
      </c>
      <c r="B25" s="8"/>
      <c r="C25" s="8"/>
      <c r="D25" s="8"/>
    </row>
    <row r="26" customFormat="false" ht="36" hidden="false" customHeight="true" outlineLevel="0" collapsed="false">
      <c r="A26" s="5" t="s">
        <v>27</v>
      </c>
      <c r="B26" s="8"/>
      <c r="C26" s="8"/>
      <c r="D26" s="8"/>
    </row>
  </sheetData>
  <mergeCells count="34">
    <mergeCell ref="B4:D4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B22:D22"/>
    <mergeCell ref="B23:D23"/>
    <mergeCell ref="B24:D24"/>
    <mergeCell ref="B25:D25"/>
    <mergeCell ref="B26:D26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11" min="7" style="0" width="6"/>
    <col collapsed="false" customWidth="true" hidden="false" outlineLevel="0" max="13" min="12" style="0" width="12"/>
    <col collapsed="false" customWidth="true" hidden="false" outlineLevel="0" max="14" min="14" style="0" width="11"/>
  </cols>
  <sheetData>
    <row r="1" customFormat="false" ht="18.5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true" outlineLevel="0" collapsed="false">
      <c r="A4" s="6" t="s">
        <v>30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6" customFormat="false" ht="30" hidden="false" customHeight="true" outlineLevel="0" collapsed="false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39</v>
      </c>
      <c r="J6" s="3" t="s">
        <v>40</v>
      </c>
      <c r="K6" s="3" t="s">
        <v>41</v>
      </c>
      <c r="L6" s="3" t="s">
        <v>42</v>
      </c>
      <c r="M6" s="3" t="s">
        <v>43</v>
      </c>
      <c r="N6" s="3" t="s">
        <v>44</v>
      </c>
    </row>
    <row r="7" customFormat="false" ht="60" hidden="false" customHeight="true" outlineLevel="0" collapsed="false">
      <c r="A7" s="4" t="n">
        <v>1</v>
      </c>
      <c r="B7" s="10"/>
      <c r="C7" s="10"/>
      <c r="D7" s="11"/>
      <c r="E7" s="11"/>
      <c r="F7" s="12"/>
      <c r="G7" s="8"/>
      <c r="H7" s="8"/>
      <c r="I7" s="8"/>
      <c r="J7" s="8"/>
      <c r="K7" s="8"/>
      <c r="L7" s="13" t="str">
        <f aca="false">IF(B7="","",IF(COUNTIF(G7:K7,"Oui")=5,"Oui","À revoir"))</f>
        <v/>
      </c>
      <c r="M7" s="11"/>
      <c r="N7" s="14" t="str">
        <f aca="false">IF(OR(M7="",E7="",D7="",E7=D7),"",(M7-D7)/(E7-D7))</f>
        <v/>
      </c>
    </row>
    <row r="8" customFormat="false" ht="60" hidden="false" customHeight="true" outlineLevel="0" collapsed="false">
      <c r="A8" s="4" t="n">
        <v>2</v>
      </c>
      <c r="B8" s="10"/>
      <c r="C8" s="10"/>
      <c r="D8" s="11"/>
      <c r="E8" s="11"/>
      <c r="F8" s="12"/>
      <c r="G8" s="8"/>
      <c r="H8" s="8"/>
      <c r="I8" s="8"/>
      <c r="J8" s="8"/>
      <c r="K8" s="8"/>
      <c r="L8" s="13" t="str">
        <f aca="false">IF(B8="","",IF(COUNTIF(G8:K8,"Oui")=5,"Oui","À revoir"))</f>
        <v/>
      </c>
      <c r="M8" s="11"/>
      <c r="N8" s="14" t="str">
        <f aca="false">IF(OR(M8="",E8="",D8="",E8=D8),"",(M8-D8)/(E8-D8))</f>
        <v/>
      </c>
    </row>
    <row r="9" customFormat="false" ht="60" hidden="false" customHeight="true" outlineLevel="0" collapsed="false">
      <c r="A9" s="4" t="n">
        <v>3</v>
      </c>
      <c r="B9" s="10"/>
      <c r="C9" s="10"/>
      <c r="D9" s="11"/>
      <c r="E9" s="11"/>
      <c r="F9" s="12"/>
      <c r="G9" s="8"/>
      <c r="H9" s="8"/>
      <c r="I9" s="8"/>
      <c r="J9" s="8"/>
      <c r="K9" s="8"/>
      <c r="L9" s="13" t="str">
        <f aca="false">IF(B9="","",IF(COUNTIF(G9:K9,"Oui")=5,"Oui","À revoir"))</f>
        <v/>
      </c>
      <c r="M9" s="11"/>
      <c r="N9" s="14" t="str">
        <f aca="false">IF(OR(M9="",E9="",D9="",E9=D9),"",(M9-D9)/(E9-D9))</f>
        <v/>
      </c>
    </row>
    <row r="11" customFormat="false" ht="30" hidden="false" customHeight="true" outlineLevel="0" collapsed="false">
      <c r="A11" s="6" t="s">
        <v>45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</sheetData>
  <mergeCells count="2">
    <mergeCell ref="A4:N4"/>
    <mergeCell ref="A11:N11"/>
  </mergeCells>
  <dataValidations count="1">
    <dataValidation allowBlank="true" errorStyle="stop" operator="between" showDropDown="false" showErrorMessage="false" showInputMessage="false" sqref="G7:K9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5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20" min="9" style="0" width="5"/>
  </cols>
  <sheetData>
    <row r="1" customFormat="false" ht="18.5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5" customFormat="false" ht="15" hidden="false" customHeight="true" outlineLevel="0" collapsed="false">
      <c r="A5" s="6" t="s">
        <v>30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customFormat="false" ht="15" hidden="false" customHeight="false" outlineLevel="0" collapsed="false">
      <c r="A6" s="7" t="s">
        <v>48</v>
      </c>
      <c r="B6" s="15"/>
    </row>
    <row r="8" customFormat="false" ht="30" hidden="false" customHeight="true" outlineLevel="0" collapsed="false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16" t="n">
        <f aca="false">EDATE($B$6,0)</f>
        <v>0</v>
      </c>
      <c r="J8" s="16" t="n">
        <f aca="false">EDATE($B$6,1)</f>
        <v>31</v>
      </c>
      <c r="K8" s="16" t="n">
        <f aca="false">EDATE($B$6,2)</f>
        <v>60</v>
      </c>
      <c r="L8" s="16" t="n">
        <f aca="false">EDATE($B$6,3)</f>
        <v>90</v>
      </c>
      <c r="M8" s="16" t="n">
        <f aca="false">EDATE($B$6,4)</f>
        <v>121</v>
      </c>
      <c r="N8" s="16" t="n">
        <f aca="false">EDATE($B$6,5)</f>
        <v>151</v>
      </c>
      <c r="O8" s="16" t="n">
        <f aca="false">EDATE($B$6,6)</f>
        <v>182</v>
      </c>
      <c r="P8" s="16" t="n">
        <f aca="false">EDATE($B$6,7)</f>
        <v>212</v>
      </c>
      <c r="Q8" s="16" t="n">
        <f aca="false">EDATE($B$6,8)</f>
        <v>243</v>
      </c>
      <c r="R8" s="16" t="n">
        <f aca="false">EDATE($B$6,9)</f>
        <v>274</v>
      </c>
      <c r="S8" s="16" t="n">
        <f aca="false">EDATE($B$6,10)</f>
        <v>304</v>
      </c>
      <c r="T8" s="16" t="n">
        <f aca="false">EDATE($B$6,11)</f>
        <v>335</v>
      </c>
    </row>
    <row r="9" customFormat="false" ht="36" hidden="false" customHeight="true" outlineLevel="0" collapsed="false">
      <c r="A9" s="8"/>
      <c r="B9" s="10"/>
      <c r="C9" s="8"/>
      <c r="D9" s="17"/>
      <c r="E9" s="17"/>
      <c r="F9" s="11"/>
      <c r="G9" s="10"/>
      <c r="H9" s="8"/>
      <c r="I9" s="18" t="str">
        <f aca="false">IF(OR($D9="",$E9=""),"",IF(AND($D9&lt;=EOMONTH(I$8,0),$E9&gt;=I$8),"■",""))</f>
        <v/>
      </c>
      <c r="J9" s="18" t="str">
        <f aca="false">IF(OR($D9="",$E9=""),"",IF(AND($D9&lt;=EOMONTH(J$8,0),$E9&gt;=J$8),"■",""))</f>
        <v/>
      </c>
      <c r="K9" s="18" t="str">
        <f aca="false">IF(OR($D9="",$E9=""),"",IF(AND($D9&lt;=EOMONTH(K$8,0),$E9&gt;=K$8),"■",""))</f>
        <v/>
      </c>
      <c r="L9" s="18" t="str">
        <f aca="false">IF(OR($D9="",$E9=""),"",IF(AND($D9&lt;=EOMONTH(L$8,0),$E9&gt;=L$8),"■",""))</f>
        <v/>
      </c>
      <c r="M9" s="18" t="str">
        <f aca="false">IF(OR($D9="",$E9=""),"",IF(AND($D9&lt;=EOMONTH(M$8,0),$E9&gt;=M$8),"■",""))</f>
        <v/>
      </c>
      <c r="N9" s="18" t="str">
        <f aca="false">IF(OR($D9="",$E9=""),"",IF(AND($D9&lt;=EOMONTH(N$8,0),$E9&gt;=N$8),"■",""))</f>
        <v/>
      </c>
      <c r="O9" s="18" t="str">
        <f aca="false">IF(OR($D9="",$E9=""),"",IF(AND($D9&lt;=EOMONTH(O$8,0),$E9&gt;=O$8),"■",""))</f>
        <v/>
      </c>
      <c r="P9" s="18" t="str">
        <f aca="false">IF(OR($D9="",$E9=""),"",IF(AND($D9&lt;=EOMONTH(P$8,0),$E9&gt;=P$8),"■",""))</f>
        <v/>
      </c>
      <c r="Q9" s="18" t="str">
        <f aca="false">IF(OR($D9="",$E9=""),"",IF(AND($D9&lt;=EOMONTH(Q$8,0),$E9&gt;=Q$8),"■",""))</f>
        <v/>
      </c>
      <c r="R9" s="18" t="str">
        <f aca="false">IF(OR($D9="",$E9=""),"",IF(AND($D9&lt;=EOMONTH(R$8,0),$E9&gt;=R$8),"■",""))</f>
        <v/>
      </c>
      <c r="S9" s="18" t="str">
        <f aca="false">IF(OR($D9="",$E9=""),"",IF(AND($D9&lt;=EOMONTH(S$8,0),$E9&gt;=S$8),"■",""))</f>
        <v/>
      </c>
      <c r="T9" s="18" t="str">
        <f aca="false">IF(OR($D9="",$E9=""),"",IF(AND($D9&lt;=EOMONTH(T$8,0),$E9&gt;=T$8),"■",""))</f>
        <v/>
      </c>
    </row>
    <row r="10" customFormat="false" ht="36" hidden="false" customHeight="true" outlineLevel="0" collapsed="false">
      <c r="A10" s="8"/>
      <c r="B10" s="10"/>
      <c r="C10" s="8"/>
      <c r="D10" s="17"/>
      <c r="E10" s="17"/>
      <c r="F10" s="11"/>
      <c r="G10" s="10"/>
      <c r="H10" s="8"/>
      <c r="I10" s="18" t="str">
        <f aca="false">IF(OR($D10="",$E10=""),"",IF(AND($D10&lt;=EOMONTH(I$8,0),$E10&gt;=I$8),"■",""))</f>
        <v/>
      </c>
      <c r="J10" s="18" t="str">
        <f aca="false">IF(OR($D10="",$E10=""),"",IF(AND($D10&lt;=EOMONTH(J$8,0),$E10&gt;=J$8),"■",""))</f>
        <v/>
      </c>
      <c r="K10" s="18" t="str">
        <f aca="false">IF(OR($D10="",$E10=""),"",IF(AND($D10&lt;=EOMONTH(K$8,0),$E10&gt;=K$8),"■",""))</f>
        <v/>
      </c>
      <c r="L10" s="18" t="str">
        <f aca="false">IF(OR($D10="",$E10=""),"",IF(AND($D10&lt;=EOMONTH(L$8,0),$E10&gt;=L$8),"■",""))</f>
        <v/>
      </c>
      <c r="M10" s="18" t="str">
        <f aca="false">IF(OR($D10="",$E10=""),"",IF(AND($D10&lt;=EOMONTH(M$8,0),$E10&gt;=M$8),"■",""))</f>
        <v/>
      </c>
      <c r="N10" s="18" t="str">
        <f aca="false">IF(OR($D10="",$E10=""),"",IF(AND($D10&lt;=EOMONTH(N$8,0),$E10&gt;=N$8),"■",""))</f>
        <v/>
      </c>
      <c r="O10" s="18" t="str">
        <f aca="false">IF(OR($D10="",$E10=""),"",IF(AND($D10&lt;=EOMONTH(O$8,0),$E10&gt;=O$8),"■",""))</f>
        <v/>
      </c>
      <c r="P10" s="18" t="str">
        <f aca="false">IF(OR($D10="",$E10=""),"",IF(AND($D10&lt;=EOMONTH(P$8,0),$E10&gt;=P$8),"■",""))</f>
        <v/>
      </c>
      <c r="Q10" s="18" t="str">
        <f aca="false">IF(OR($D10="",$E10=""),"",IF(AND($D10&lt;=EOMONTH(Q$8,0),$E10&gt;=Q$8),"■",""))</f>
        <v/>
      </c>
      <c r="R10" s="18" t="str">
        <f aca="false">IF(OR($D10="",$E10=""),"",IF(AND($D10&lt;=EOMONTH(R$8,0),$E10&gt;=R$8),"■",""))</f>
        <v/>
      </c>
      <c r="S10" s="18" t="str">
        <f aca="false">IF(OR($D10="",$E10=""),"",IF(AND($D10&lt;=EOMONTH(S$8,0),$E10&gt;=S$8),"■",""))</f>
        <v/>
      </c>
      <c r="T10" s="18" t="str">
        <f aca="false">IF(OR($D10="",$E10=""),"",IF(AND($D10&lt;=EOMONTH(T$8,0),$E10&gt;=T$8),"■",""))</f>
        <v/>
      </c>
    </row>
    <row r="11" customFormat="false" ht="36" hidden="false" customHeight="true" outlineLevel="0" collapsed="false">
      <c r="A11" s="8"/>
      <c r="B11" s="10"/>
      <c r="C11" s="8"/>
      <c r="D11" s="17"/>
      <c r="E11" s="17"/>
      <c r="F11" s="11"/>
      <c r="G11" s="10"/>
      <c r="H11" s="8"/>
      <c r="I11" s="18" t="str">
        <f aca="false">IF(OR($D11="",$E11=""),"",IF(AND($D11&lt;=EOMONTH(I$8,0),$E11&gt;=I$8),"■",""))</f>
        <v/>
      </c>
      <c r="J11" s="18" t="str">
        <f aca="false">IF(OR($D11="",$E11=""),"",IF(AND($D11&lt;=EOMONTH(J$8,0),$E11&gt;=J$8),"■",""))</f>
        <v/>
      </c>
      <c r="K11" s="18" t="str">
        <f aca="false">IF(OR($D11="",$E11=""),"",IF(AND($D11&lt;=EOMONTH(K$8,0),$E11&gt;=K$8),"■",""))</f>
        <v/>
      </c>
      <c r="L11" s="18" t="str">
        <f aca="false">IF(OR($D11="",$E11=""),"",IF(AND($D11&lt;=EOMONTH(L$8,0),$E11&gt;=L$8),"■",""))</f>
        <v/>
      </c>
      <c r="M11" s="18" t="str">
        <f aca="false">IF(OR($D11="",$E11=""),"",IF(AND($D11&lt;=EOMONTH(M$8,0),$E11&gt;=M$8),"■",""))</f>
        <v/>
      </c>
      <c r="N11" s="18" t="str">
        <f aca="false">IF(OR($D11="",$E11=""),"",IF(AND($D11&lt;=EOMONTH(N$8,0),$E11&gt;=N$8),"■",""))</f>
        <v/>
      </c>
      <c r="O11" s="18" t="str">
        <f aca="false">IF(OR($D11="",$E11=""),"",IF(AND($D11&lt;=EOMONTH(O$8,0),$E11&gt;=O$8),"■",""))</f>
        <v/>
      </c>
      <c r="P11" s="18" t="str">
        <f aca="false">IF(OR($D11="",$E11=""),"",IF(AND($D11&lt;=EOMONTH(P$8,0),$E11&gt;=P$8),"■",""))</f>
        <v/>
      </c>
      <c r="Q11" s="18" t="str">
        <f aca="false">IF(OR($D11="",$E11=""),"",IF(AND($D11&lt;=EOMONTH(Q$8,0),$E11&gt;=Q$8),"■",""))</f>
        <v/>
      </c>
      <c r="R11" s="18" t="str">
        <f aca="false">IF(OR($D11="",$E11=""),"",IF(AND($D11&lt;=EOMONTH(R$8,0),$E11&gt;=R$8),"■",""))</f>
        <v/>
      </c>
      <c r="S11" s="18" t="str">
        <f aca="false">IF(OR($D11="",$E11=""),"",IF(AND($D11&lt;=EOMONTH(S$8,0),$E11&gt;=S$8),"■",""))</f>
        <v/>
      </c>
      <c r="T11" s="18" t="str">
        <f aca="false">IF(OR($D11="",$E11=""),"",IF(AND($D11&lt;=EOMONTH(T$8,0),$E11&gt;=T$8),"■",""))</f>
        <v/>
      </c>
    </row>
    <row r="12" customFormat="false" ht="36" hidden="false" customHeight="true" outlineLevel="0" collapsed="false">
      <c r="A12" s="8"/>
      <c r="B12" s="10"/>
      <c r="C12" s="8"/>
      <c r="D12" s="17"/>
      <c r="E12" s="17"/>
      <c r="F12" s="11"/>
      <c r="G12" s="10"/>
      <c r="H12" s="8"/>
      <c r="I12" s="18" t="str">
        <f aca="false">IF(OR($D12="",$E12=""),"",IF(AND($D12&lt;=EOMONTH(I$8,0),$E12&gt;=I$8),"■",""))</f>
        <v/>
      </c>
      <c r="J12" s="18" t="str">
        <f aca="false">IF(OR($D12="",$E12=""),"",IF(AND($D12&lt;=EOMONTH(J$8,0),$E12&gt;=J$8),"■",""))</f>
        <v/>
      </c>
      <c r="K12" s="18" t="str">
        <f aca="false">IF(OR($D12="",$E12=""),"",IF(AND($D12&lt;=EOMONTH(K$8,0),$E12&gt;=K$8),"■",""))</f>
        <v/>
      </c>
      <c r="L12" s="18" t="str">
        <f aca="false">IF(OR($D12="",$E12=""),"",IF(AND($D12&lt;=EOMONTH(L$8,0),$E12&gt;=L$8),"■",""))</f>
        <v/>
      </c>
      <c r="M12" s="18" t="str">
        <f aca="false">IF(OR($D12="",$E12=""),"",IF(AND($D12&lt;=EOMONTH(M$8,0),$E12&gt;=M$8),"■",""))</f>
        <v/>
      </c>
      <c r="N12" s="18" t="str">
        <f aca="false">IF(OR($D12="",$E12=""),"",IF(AND($D12&lt;=EOMONTH(N$8,0),$E12&gt;=N$8),"■",""))</f>
        <v/>
      </c>
      <c r="O12" s="18" t="str">
        <f aca="false">IF(OR($D12="",$E12=""),"",IF(AND($D12&lt;=EOMONTH(O$8,0),$E12&gt;=O$8),"■",""))</f>
        <v/>
      </c>
      <c r="P12" s="18" t="str">
        <f aca="false">IF(OR($D12="",$E12=""),"",IF(AND($D12&lt;=EOMONTH(P$8,0),$E12&gt;=P$8),"■",""))</f>
        <v/>
      </c>
      <c r="Q12" s="18" t="str">
        <f aca="false">IF(OR($D12="",$E12=""),"",IF(AND($D12&lt;=EOMONTH(Q$8,0),$E12&gt;=Q$8),"■",""))</f>
        <v/>
      </c>
      <c r="R12" s="18" t="str">
        <f aca="false">IF(OR($D12="",$E12=""),"",IF(AND($D12&lt;=EOMONTH(R$8,0),$E12&gt;=R$8),"■",""))</f>
        <v/>
      </c>
      <c r="S12" s="18" t="str">
        <f aca="false">IF(OR($D12="",$E12=""),"",IF(AND($D12&lt;=EOMONTH(S$8,0),$E12&gt;=S$8),"■",""))</f>
        <v/>
      </c>
      <c r="T12" s="18" t="str">
        <f aca="false">IF(OR($D12="",$E12=""),"",IF(AND($D12&lt;=EOMONTH(T$8,0),$E12&gt;=T$8),"■",""))</f>
        <v/>
      </c>
    </row>
    <row r="13" customFormat="false" ht="36" hidden="false" customHeight="true" outlineLevel="0" collapsed="false">
      <c r="A13" s="8"/>
      <c r="B13" s="10"/>
      <c r="C13" s="8"/>
      <c r="D13" s="17"/>
      <c r="E13" s="17"/>
      <c r="F13" s="11"/>
      <c r="G13" s="10"/>
      <c r="H13" s="8"/>
      <c r="I13" s="18" t="str">
        <f aca="false">IF(OR($D13="",$E13=""),"",IF(AND($D13&lt;=EOMONTH(I$8,0),$E13&gt;=I$8),"■",""))</f>
        <v/>
      </c>
      <c r="J13" s="18" t="str">
        <f aca="false">IF(OR($D13="",$E13=""),"",IF(AND($D13&lt;=EOMONTH(J$8,0),$E13&gt;=J$8),"■",""))</f>
        <v/>
      </c>
      <c r="K13" s="18" t="str">
        <f aca="false">IF(OR($D13="",$E13=""),"",IF(AND($D13&lt;=EOMONTH(K$8,0),$E13&gt;=K$8),"■",""))</f>
        <v/>
      </c>
      <c r="L13" s="18" t="str">
        <f aca="false">IF(OR($D13="",$E13=""),"",IF(AND($D13&lt;=EOMONTH(L$8,0),$E13&gt;=L$8),"■",""))</f>
        <v/>
      </c>
      <c r="M13" s="18" t="str">
        <f aca="false">IF(OR($D13="",$E13=""),"",IF(AND($D13&lt;=EOMONTH(M$8,0),$E13&gt;=M$8),"■",""))</f>
        <v/>
      </c>
      <c r="N13" s="18" t="str">
        <f aca="false">IF(OR($D13="",$E13=""),"",IF(AND($D13&lt;=EOMONTH(N$8,0),$E13&gt;=N$8),"■",""))</f>
        <v/>
      </c>
      <c r="O13" s="18" t="str">
        <f aca="false">IF(OR($D13="",$E13=""),"",IF(AND($D13&lt;=EOMONTH(O$8,0),$E13&gt;=O$8),"■",""))</f>
        <v/>
      </c>
      <c r="P13" s="18" t="str">
        <f aca="false">IF(OR($D13="",$E13=""),"",IF(AND($D13&lt;=EOMONTH(P$8,0),$E13&gt;=P$8),"■",""))</f>
        <v/>
      </c>
      <c r="Q13" s="18" t="str">
        <f aca="false">IF(OR($D13="",$E13=""),"",IF(AND($D13&lt;=EOMONTH(Q$8,0),$E13&gt;=Q$8),"■",""))</f>
        <v/>
      </c>
      <c r="R13" s="18" t="str">
        <f aca="false">IF(OR($D13="",$E13=""),"",IF(AND($D13&lt;=EOMONTH(R$8,0),$E13&gt;=R$8),"■",""))</f>
        <v/>
      </c>
      <c r="S13" s="18" t="str">
        <f aca="false">IF(OR($D13="",$E13=""),"",IF(AND($D13&lt;=EOMONTH(S$8,0),$E13&gt;=S$8),"■",""))</f>
        <v/>
      </c>
      <c r="T13" s="18" t="str">
        <f aca="false">IF(OR($D13="",$E13=""),"",IF(AND($D13&lt;=EOMONTH(T$8,0),$E13&gt;=T$8),"■",""))</f>
        <v/>
      </c>
    </row>
    <row r="14" customFormat="false" ht="36" hidden="false" customHeight="true" outlineLevel="0" collapsed="false">
      <c r="A14" s="8"/>
      <c r="B14" s="10"/>
      <c r="C14" s="8"/>
      <c r="D14" s="17"/>
      <c r="E14" s="17"/>
      <c r="F14" s="11"/>
      <c r="G14" s="10"/>
      <c r="H14" s="8"/>
      <c r="I14" s="18" t="str">
        <f aca="false">IF(OR($D14="",$E14=""),"",IF(AND($D14&lt;=EOMONTH(I$8,0),$E14&gt;=I$8),"■",""))</f>
        <v/>
      </c>
      <c r="J14" s="18" t="str">
        <f aca="false">IF(OR($D14="",$E14=""),"",IF(AND($D14&lt;=EOMONTH(J$8,0),$E14&gt;=J$8),"■",""))</f>
        <v/>
      </c>
      <c r="K14" s="18" t="str">
        <f aca="false">IF(OR($D14="",$E14=""),"",IF(AND($D14&lt;=EOMONTH(K$8,0),$E14&gt;=K$8),"■",""))</f>
        <v/>
      </c>
      <c r="L14" s="18" t="str">
        <f aca="false">IF(OR($D14="",$E14=""),"",IF(AND($D14&lt;=EOMONTH(L$8,0),$E14&gt;=L$8),"■",""))</f>
        <v/>
      </c>
      <c r="M14" s="18" t="str">
        <f aca="false">IF(OR($D14="",$E14=""),"",IF(AND($D14&lt;=EOMONTH(M$8,0),$E14&gt;=M$8),"■",""))</f>
        <v/>
      </c>
      <c r="N14" s="18" t="str">
        <f aca="false">IF(OR($D14="",$E14=""),"",IF(AND($D14&lt;=EOMONTH(N$8,0),$E14&gt;=N$8),"■",""))</f>
        <v/>
      </c>
      <c r="O14" s="18" t="str">
        <f aca="false">IF(OR($D14="",$E14=""),"",IF(AND($D14&lt;=EOMONTH(O$8,0),$E14&gt;=O$8),"■",""))</f>
        <v/>
      </c>
      <c r="P14" s="18" t="str">
        <f aca="false">IF(OR($D14="",$E14=""),"",IF(AND($D14&lt;=EOMONTH(P$8,0),$E14&gt;=P$8),"■",""))</f>
        <v/>
      </c>
      <c r="Q14" s="18" t="str">
        <f aca="false">IF(OR($D14="",$E14=""),"",IF(AND($D14&lt;=EOMONTH(Q$8,0),$E14&gt;=Q$8),"■",""))</f>
        <v/>
      </c>
      <c r="R14" s="18" t="str">
        <f aca="false">IF(OR($D14="",$E14=""),"",IF(AND($D14&lt;=EOMONTH(R$8,0),$E14&gt;=R$8),"■",""))</f>
        <v/>
      </c>
      <c r="S14" s="18" t="str">
        <f aca="false">IF(OR($D14="",$E14=""),"",IF(AND($D14&lt;=EOMONTH(S$8,0),$E14&gt;=S$8),"■",""))</f>
        <v/>
      </c>
      <c r="T14" s="18" t="str">
        <f aca="false">IF(OR($D14="",$E14=""),"",IF(AND($D14&lt;=EOMONTH(T$8,0),$E14&gt;=T$8),"■",""))</f>
        <v/>
      </c>
    </row>
    <row r="15" customFormat="false" ht="36" hidden="false" customHeight="true" outlineLevel="0" collapsed="false">
      <c r="A15" s="8"/>
      <c r="B15" s="10"/>
      <c r="C15" s="8"/>
      <c r="D15" s="17"/>
      <c r="E15" s="17"/>
      <c r="F15" s="11"/>
      <c r="G15" s="10"/>
      <c r="H15" s="8"/>
      <c r="I15" s="18" t="str">
        <f aca="false">IF(OR($D15="",$E15=""),"",IF(AND($D15&lt;=EOMONTH(I$8,0),$E15&gt;=I$8),"■",""))</f>
        <v/>
      </c>
      <c r="J15" s="18" t="str">
        <f aca="false">IF(OR($D15="",$E15=""),"",IF(AND($D15&lt;=EOMONTH(J$8,0),$E15&gt;=J$8),"■",""))</f>
        <v/>
      </c>
      <c r="K15" s="18" t="str">
        <f aca="false">IF(OR($D15="",$E15=""),"",IF(AND($D15&lt;=EOMONTH(K$8,0),$E15&gt;=K$8),"■",""))</f>
        <v/>
      </c>
      <c r="L15" s="18" t="str">
        <f aca="false">IF(OR($D15="",$E15=""),"",IF(AND($D15&lt;=EOMONTH(L$8,0),$E15&gt;=L$8),"■",""))</f>
        <v/>
      </c>
      <c r="M15" s="18" t="str">
        <f aca="false">IF(OR($D15="",$E15=""),"",IF(AND($D15&lt;=EOMONTH(M$8,0),$E15&gt;=M$8),"■",""))</f>
        <v/>
      </c>
      <c r="N15" s="18" t="str">
        <f aca="false">IF(OR($D15="",$E15=""),"",IF(AND($D15&lt;=EOMONTH(N$8,0),$E15&gt;=N$8),"■",""))</f>
        <v/>
      </c>
      <c r="O15" s="18" t="str">
        <f aca="false">IF(OR($D15="",$E15=""),"",IF(AND($D15&lt;=EOMONTH(O$8,0),$E15&gt;=O$8),"■",""))</f>
        <v/>
      </c>
      <c r="P15" s="18" t="str">
        <f aca="false">IF(OR($D15="",$E15=""),"",IF(AND($D15&lt;=EOMONTH(P$8,0),$E15&gt;=P$8),"■",""))</f>
        <v/>
      </c>
      <c r="Q15" s="18" t="str">
        <f aca="false">IF(OR($D15="",$E15=""),"",IF(AND($D15&lt;=EOMONTH(Q$8,0),$E15&gt;=Q$8),"■",""))</f>
        <v/>
      </c>
      <c r="R15" s="18" t="str">
        <f aca="false">IF(OR($D15="",$E15=""),"",IF(AND($D15&lt;=EOMONTH(R$8,0),$E15&gt;=R$8),"■",""))</f>
        <v/>
      </c>
      <c r="S15" s="18" t="str">
        <f aca="false">IF(OR($D15="",$E15=""),"",IF(AND($D15&lt;=EOMONTH(S$8,0),$E15&gt;=S$8),"■",""))</f>
        <v/>
      </c>
      <c r="T15" s="18" t="str">
        <f aca="false">IF(OR($D15="",$E15=""),"",IF(AND($D15&lt;=EOMONTH(T$8,0),$E15&gt;=T$8),"■",""))</f>
        <v/>
      </c>
    </row>
    <row r="16" customFormat="false" ht="36" hidden="false" customHeight="true" outlineLevel="0" collapsed="false">
      <c r="A16" s="8"/>
      <c r="B16" s="10"/>
      <c r="C16" s="8"/>
      <c r="D16" s="17"/>
      <c r="E16" s="17"/>
      <c r="F16" s="11"/>
      <c r="G16" s="10"/>
      <c r="H16" s="8"/>
      <c r="I16" s="18" t="str">
        <f aca="false">IF(OR($D16="",$E16=""),"",IF(AND($D16&lt;=EOMONTH(I$8,0),$E16&gt;=I$8),"■",""))</f>
        <v/>
      </c>
      <c r="J16" s="18" t="str">
        <f aca="false">IF(OR($D16="",$E16=""),"",IF(AND($D16&lt;=EOMONTH(J$8,0),$E16&gt;=J$8),"■",""))</f>
        <v/>
      </c>
      <c r="K16" s="18" t="str">
        <f aca="false">IF(OR($D16="",$E16=""),"",IF(AND($D16&lt;=EOMONTH(K$8,0),$E16&gt;=K$8),"■",""))</f>
        <v/>
      </c>
      <c r="L16" s="18" t="str">
        <f aca="false">IF(OR($D16="",$E16=""),"",IF(AND($D16&lt;=EOMONTH(L$8,0),$E16&gt;=L$8),"■",""))</f>
        <v/>
      </c>
      <c r="M16" s="18" t="str">
        <f aca="false">IF(OR($D16="",$E16=""),"",IF(AND($D16&lt;=EOMONTH(M$8,0),$E16&gt;=M$8),"■",""))</f>
        <v/>
      </c>
      <c r="N16" s="18" t="str">
        <f aca="false">IF(OR($D16="",$E16=""),"",IF(AND($D16&lt;=EOMONTH(N$8,0),$E16&gt;=N$8),"■",""))</f>
        <v/>
      </c>
      <c r="O16" s="18" t="str">
        <f aca="false">IF(OR($D16="",$E16=""),"",IF(AND($D16&lt;=EOMONTH(O$8,0),$E16&gt;=O$8),"■",""))</f>
        <v/>
      </c>
      <c r="P16" s="18" t="str">
        <f aca="false">IF(OR($D16="",$E16=""),"",IF(AND($D16&lt;=EOMONTH(P$8,0),$E16&gt;=P$8),"■",""))</f>
        <v/>
      </c>
      <c r="Q16" s="18" t="str">
        <f aca="false">IF(OR($D16="",$E16=""),"",IF(AND($D16&lt;=EOMONTH(Q$8,0),$E16&gt;=Q$8),"■",""))</f>
        <v/>
      </c>
      <c r="R16" s="18" t="str">
        <f aca="false">IF(OR($D16="",$E16=""),"",IF(AND($D16&lt;=EOMONTH(R$8,0),$E16&gt;=R$8),"■",""))</f>
        <v/>
      </c>
      <c r="S16" s="18" t="str">
        <f aca="false">IF(OR($D16="",$E16=""),"",IF(AND($D16&lt;=EOMONTH(S$8,0),$E16&gt;=S$8),"■",""))</f>
        <v/>
      </c>
      <c r="T16" s="18" t="str">
        <f aca="false">IF(OR($D16="",$E16=""),"",IF(AND($D16&lt;=EOMONTH(T$8,0),$E16&gt;=T$8),"■",""))</f>
        <v/>
      </c>
    </row>
    <row r="17" customFormat="false" ht="36" hidden="false" customHeight="true" outlineLevel="0" collapsed="false">
      <c r="A17" s="8"/>
      <c r="B17" s="10"/>
      <c r="C17" s="8"/>
      <c r="D17" s="17"/>
      <c r="E17" s="17"/>
      <c r="F17" s="11"/>
      <c r="G17" s="10"/>
      <c r="H17" s="8"/>
      <c r="I17" s="18" t="str">
        <f aca="false">IF(OR($D17="",$E17=""),"",IF(AND($D17&lt;=EOMONTH(I$8,0),$E17&gt;=I$8),"■",""))</f>
        <v/>
      </c>
      <c r="J17" s="18" t="str">
        <f aca="false">IF(OR($D17="",$E17=""),"",IF(AND($D17&lt;=EOMONTH(J$8,0),$E17&gt;=J$8),"■",""))</f>
        <v/>
      </c>
      <c r="K17" s="18" t="str">
        <f aca="false">IF(OR($D17="",$E17=""),"",IF(AND($D17&lt;=EOMONTH(K$8,0),$E17&gt;=K$8),"■",""))</f>
        <v/>
      </c>
      <c r="L17" s="18" t="str">
        <f aca="false">IF(OR($D17="",$E17=""),"",IF(AND($D17&lt;=EOMONTH(L$8,0),$E17&gt;=L$8),"■",""))</f>
        <v/>
      </c>
      <c r="M17" s="18" t="str">
        <f aca="false">IF(OR($D17="",$E17=""),"",IF(AND($D17&lt;=EOMONTH(M$8,0),$E17&gt;=M$8),"■",""))</f>
        <v/>
      </c>
      <c r="N17" s="18" t="str">
        <f aca="false">IF(OR($D17="",$E17=""),"",IF(AND($D17&lt;=EOMONTH(N$8,0),$E17&gt;=N$8),"■",""))</f>
        <v/>
      </c>
      <c r="O17" s="18" t="str">
        <f aca="false">IF(OR($D17="",$E17=""),"",IF(AND($D17&lt;=EOMONTH(O$8,0),$E17&gt;=O$8),"■",""))</f>
        <v/>
      </c>
      <c r="P17" s="18" t="str">
        <f aca="false">IF(OR($D17="",$E17=""),"",IF(AND($D17&lt;=EOMONTH(P$8,0),$E17&gt;=P$8),"■",""))</f>
        <v/>
      </c>
      <c r="Q17" s="18" t="str">
        <f aca="false">IF(OR($D17="",$E17=""),"",IF(AND($D17&lt;=EOMONTH(Q$8,0),$E17&gt;=Q$8),"■",""))</f>
        <v/>
      </c>
      <c r="R17" s="18" t="str">
        <f aca="false">IF(OR($D17="",$E17=""),"",IF(AND($D17&lt;=EOMONTH(R$8,0),$E17&gt;=R$8),"■",""))</f>
        <v/>
      </c>
      <c r="S17" s="18" t="str">
        <f aca="false">IF(OR($D17="",$E17=""),"",IF(AND($D17&lt;=EOMONTH(S$8,0),$E17&gt;=S$8),"■",""))</f>
        <v/>
      </c>
      <c r="T17" s="18" t="str">
        <f aca="false">IF(OR($D17="",$E17=""),"",IF(AND($D17&lt;=EOMONTH(T$8,0),$E17&gt;=T$8),"■",""))</f>
        <v/>
      </c>
    </row>
    <row r="18" customFormat="false" ht="36" hidden="false" customHeight="true" outlineLevel="0" collapsed="false">
      <c r="A18" s="8"/>
      <c r="B18" s="10"/>
      <c r="C18" s="8"/>
      <c r="D18" s="17"/>
      <c r="E18" s="17"/>
      <c r="F18" s="11"/>
      <c r="G18" s="10"/>
      <c r="H18" s="8"/>
      <c r="I18" s="18" t="str">
        <f aca="false">IF(OR($D18="",$E18=""),"",IF(AND($D18&lt;=EOMONTH(I$8,0),$E18&gt;=I$8),"■",""))</f>
        <v/>
      </c>
      <c r="J18" s="18" t="str">
        <f aca="false">IF(OR($D18="",$E18=""),"",IF(AND($D18&lt;=EOMONTH(J$8,0),$E18&gt;=J$8),"■",""))</f>
        <v/>
      </c>
      <c r="K18" s="18" t="str">
        <f aca="false">IF(OR($D18="",$E18=""),"",IF(AND($D18&lt;=EOMONTH(K$8,0),$E18&gt;=K$8),"■",""))</f>
        <v/>
      </c>
      <c r="L18" s="18" t="str">
        <f aca="false">IF(OR($D18="",$E18=""),"",IF(AND($D18&lt;=EOMONTH(L$8,0),$E18&gt;=L$8),"■",""))</f>
        <v/>
      </c>
      <c r="M18" s="18" t="str">
        <f aca="false">IF(OR($D18="",$E18=""),"",IF(AND($D18&lt;=EOMONTH(M$8,0),$E18&gt;=M$8),"■",""))</f>
        <v/>
      </c>
      <c r="N18" s="18" t="str">
        <f aca="false">IF(OR($D18="",$E18=""),"",IF(AND($D18&lt;=EOMONTH(N$8,0),$E18&gt;=N$8),"■",""))</f>
        <v/>
      </c>
      <c r="O18" s="18" t="str">
        <f aca="false">IF(OR($D18="",$E18=""),"",IF(AND($D18&lt;=EOMONTH(O$8,0),$E18&gt;=O$8),"■",""))</f>
        <v/>
      </c>
      <c r="P18" s="18" t="str">
        <f aca="false">IF(OR($D18="",$E18=""),"",IF(AND($D18&lt;=EOMONTH(P$8,0),$E18&gt;=P$8),"■",""))</f>
        <v/>
      </c>
      <c r="Q18" s="18" t="str">
        <f aca="false">IF(OR($D18="",$E18=""),"",IF(AND($D18&lt;=EOMONTH(Q$8,0),$E18&gt;=Q$8),"■",""))</f>
        <v/>
      </c>
      <c r="R18" s="18" t="str">
        <f aca="false">IF(OR($D18="",$E18=""),"",IF(AND($D18&lt;=EOMONTH(R$8,0),$E18&gt;=R$8),"■",""))</f>
        <v/>
      </c>
      <c r="S18" s="18" t="str">
        <f aca="false">IF(OR($D18="",$E18=""),"",IF(AND($D18&lt;=EOMONTH(S$8,0),$E18&gt;=S$8),"■",""))</f>
        <v/>
      </c>
      <c r="T18" s="18" t="str">
        <f aca="false">IF(OR($D18="",$E18=""),"",IF(AND($D18&lt;=EOMONTH(T$8,0),$E18&gt;=T$8),"■",""))</f>
        <v/>
      </c>
    </row>
    <row r="19" customFormat="false" ht="36" hidden="false" customHeight="true" outlineLevel="0" collapsed="false">
      <c r="A19" s="8"/>
      <c r="B19" s="10"/>
      <c r="C19" s="8"/>
      <c r="D19" s="17"/>
      <c r="E19" s="17"/>
      <c r="F19" s="11"/>
      <c r="G19" s="10"/>
      <c r="H19" s="8"/>
      <c r="I19" s="18" t="str">
        <f aca="false">IF(OR($D19="",$E19=""),"",IF(AND($D19&lt;=EOMONTH(I$8,0),$E19&gt;=I$8),"■",""))</f>
        <v/>
      </c>
      <c r="J19" s="18" t="str">
        <f aca="false">IF(OR($D19="",$E19=""),"",IF(AND($D19&lt;=EOMONTH(J$8,0),$E19&gt;=J$8),"■",""))</f>
        <v/>
      </c>
      <c r="K19" s="18" t="str">
        <f aca="false">IF(OR($D19="",$E19=""),"",IF(AND($D19&lt;=EOMONTH(K$8,0),$E19&gt;=K$8),"■",""))</f>
        <v/>
      </c>
      <c r="L19" s="18" t="str">
        <f aca="false">IF(OR($D19="",$E19=""),"",IF(AND($D19&lt;=EOMONTH(L$8,0),$E19&gt;=L$8),"■",""))</f>
        <v/>
      </c>
      <c r="M19" s="18" t="str">
        <f aca="false">IF(OR($D19="",$E19=""),"",IF(AND($D19&lt;=EOMONTH(M$8,0),$E19&gt;=M$8),"■",""))</f>
        <v/>
      </c>
      <c r="N19" s="18" t="str">
        <f aca="false">IF(OR($D19="",$E19=""),"",IF(AND($D19&lt;=EOMONTH(N$8,0),$E19&gt;=N$8),"■",""))</f>
        <v/>
      </c>
      <c r="O19" s="18" t="str">
        <f aca="false">IF(OR($D19="",$E19=""),"",IF(AND($D19&lt;=EOMONTH(O$8,0),$E19&gt;=O$8),"■",""))</f>
        <v/>
      </c>
      <c r="P19" s="18" t="str">
        <f aca="false">IF(OR($D19="",$E19=""),"",IF(AND($D19&lt;=EOMONTH(P$8,0),$E19&gt;=P$8),"■",""))</f>
        <v/>
      </c>
      <c r="Q19" s="18" t="str">
        <f aca="false">IF(OR($D19="",$E19=""),"",IF(AND($D19&lt;=EOMONTH(Q$8,0),$E19&gt;=Q$8),"■",""))</f>
        <v/>
      </c>
      <c r="R19" s="18" t="str">
        <f aca="false">IF(OR($D19="",$E19=""),"",IF(AND($D19&lt;=EOMONTH(R$8,0),$E19&gt;=R$8),"■",""))</f>
        <v/>
      </c>
      <c r="S19" s="18" t="str">
        <f aca="false">IF(OR($D19="",$E19=""),"",IF(AND($D19&lt;=EOMONTH(S$8,0),$E19&gt;=S$8),"■",""))</f>
        <v/>
      </c>
      <c r="T19" s="18" t="str">
        <f aca="false">IF(OR($D19="",$E19=""),"",IF(AND($D19&lt;=EOMONTH(T$8,0),$E19&gt;=T$8),"■",""))</f>
        <v/>
      </c>
    </row>
    <row r="20" customFormat="false" ht="36" hidden="false" customHeight="true" outlineLevel="0" collapsed="false">
      <c r="A20" s="8"/>
      <c r="B20" s="10"/>
      <c r="C20" s="8"/>
      <c r="D20" s="17"/>
      <c r="E20" s="17"/>
      <c r="F20" s="11"/>
      <c r="G20" s="10"/>
      <c r="H20" s="8"/>
      <c r="I20" s="18" t="str">
        <f aca="false">IF(OR($D20="",$E20=""),"",IF(AND($D20&lt;=EOMONTH(I$8,0),$E20&gt;=I$8),"■",""))</f>
        <v/>
      </c>
      <c r="J20" s="18" t="str">
        <f aca="false">IF(OR($D20="",$E20=""),"",IF(AND($D20&lt;=EOMONTH(J$8,0),$E20&gt;=J$8),"■",""))</f>
        <v/>
      </c>
      <c r="K20" s="18" t="str">
        <f aca="false">IF(OR($D20="",$E20=""),"",IF(AND($D20&lt;=EOMONTH(K$8,0),$E20&gt;=K$8),"■",""))</f>
        <v/>
      </c>
      <c r="L20" s="18" t="str">
        <f aca="false">IF(OR($D20="",$E20=""),"",IF(AND($D20&lt;=EOMONTH(L$8,0),$E20&gt;=L$8),"■",""))</f>
        <v/>
      </c>
      <c r="M20" s="18" t="str">
        <f aca="false">IF(OR($D20="",$E20=""),"",IF(AND($D20&lt;=EOMONTH(M$8,0),$E20&gt;=M$8),"■",""))</f>
        <v/>
      </c>
      <c r="N20" s="18" t="str">
        <f aca="false">IF(OR($D20="",$E20=""),"",IF(AND($D20&lt;=EOMONTH(N$8,0),$E20&gt;=N$8),"■",""))</f>
        <v/>
      </c>
      <c r="O20" s="18" t="str">
        <f aca="false">IF(OR($D20="",$E20=""),"",IF(AND($D20&lt;=EOMONTH(O$8,0),$E20&gt;=O$8),"■",""))</f>
        <v/>
      </c>
      <c r="P20" s="18" t="str">
        <f aca="false">IF(OR($D20="",$E20=""),"",IF(AND($D20&lt;=EOMONTH(P$8,0),$E20&gt;=P$8),"■",""))</f>
        <v/>
      </c>
      <c r="Q20" s="18" t="str">
        <f aca="false">IF(OR($D20="",$E20=""),"",IF(AND($D20&lt;=EOMONTH(Q$8,0),$E20&gt;=Q$8),"■",""))</f>
        <v/>
      </c>
      <c r="R20" s="18" t="str">
        <f aca="false">IF(OR($D20="",$E20=""),"",IF(AND($D20&lt;=EOMONTH(R$8,0),$E20&gt;=R$8),"■",""))</f>
        <v/>
      </c>
      <c r="S20" s="18" t="str">
        <f aca="false">IF(OR($D20="",$E20=""),"",IF(AND($D20&lt;=EOMONTH(S$8,0),$E20&gt;=S$8),"■",""))</f>
        <v/>
      </c>
      <c r="T20" s="18" t="str">
        <f aca="false">IF(OR($D20="",$E20=""),"",IF(AND($D20&lt;=EOMONTH(T$8,0),$E20&gt;=T$8),"■",""))</f>
        <v/>
      </c>
    </row>
    <row r="21" customFormat="false" ht="36" hidden="false" customHeight="true" outlineLevel="0" collapsed="false">
      <c r="A21" s="8"/>
      <c r="B21" s="10"/>
      <c r="C21" s="8"/>
      <c r="D21" s="17"/>
      <c r="E21" s="17"/>
      <c r="F21" s="11"/>
      <c r="G21" s="10"/>
      <c r="H21" s="8"/>
      <c r="I21" s="18" t="str">
        <f aca="false">IF(OR($D21="",$E21=""),"",IF(AND($D21&lt;=EOMONTH(I$8,0),$E21&gt;=I$8),"■",""))</f>
        <v/>
      </c>
      <c r="J21" s="18" t="str">
        <f aca="false">IF(OR($D21="",$E21=""),"",IF(AND($D21&lt;=EOMONTH(J$8,0),$E21&gt;=J$8),"■",""))</f>
        <v/>
      </c>
      <c r="K21" s="18" t="str">
        <f aca="false">IF(OR($D21="",$E21=""),"",IF(AND($D21&lt;=EOMONTH(K$8,0),$E21&gt;=K$8),"■",""))</f>
        <v/>
      </c>
      <c r="L21" s="18" t="str">
        <f aca="false">IF(OR($D21="",$E21=""),"",IF(AND($D21&lt;=EOMONTH(L$8,0),$E21&gt;=L$8),"■",""))</f>
        <v/>
      </c>
      <c r="M21" s="18" t="str">
        <f aca="false">IF(OR($D21="",$E21=""),"",IF(AND($D21&lt;=EOMONTH(M$8,0),$E21&gt;=M$8),"■",""))</f>
        <v/>
      </c>
      <c r="N21" s="18" t="str">
        <f aca="false">IF(OR($D21="",$E21=""),"",IF(AND($D21&lt;=EOMONTH(N$8,0),$E21&gt;=N$8),"■",""))</f>
        <v/>
      </c>
      <c r="O21" s="18" t="str">
        <f aca="false">IF(OR($D21="",$E21=""),"",IF(AND($D21&lt;=EOMONTH(O$8,0),$E21&gt;=O$8),"■",""))</f>
        <v/>
      </c>
      <c r="P21" s="18" t="str">
        <f aca="false">IF(OR($D21="",$E21=""),"",IF(AND($D21&lt;=EOMONTH(P$8,0),$E21&gt;=P$8),"■",""))</f>
        <v/>
      </c>
      <c r="Q21" s="18" t="str">
        <f aca="false">IF(OR($D21="",$E21=""),"",IF(AND($D21&lt;=EOMONTH(Q$8,0),$E21&gt;=Q$8),"■",""))</f>
        <v/>
      </c>
      <c r="R21" s="18" t="str">
        <f aca="false">IF(OR($D21="",$E21=""),"",IF(AND($D21&lt;=EOMONTH(R$8,0),$E21&gt;=R$8),"■",""))</f>
        <v/>
      </c>
      <c r="S21" s="18" t="str">
        <f aca="false">IF(OR($D21="",$E21=""),"",IF(AND($D21&lt;=EOMONTH(S$8,0),$E21&gt;=S$8),"■",""))</f>
        <v/>
      </c>
      <c r="T21" s="18" t="str">
        <f aca="false">IF(OR($D21="",$E21=""),"",IF(AND($D21&lt;=EOMONTH(T$8,0),$E21&gt;=T$8),"■",""))</f>
        <v/>
      </c>
    </row>
    <row r="22" customFormat="false" ht="36" hidden="false" customHeight="true" outlineLevel="0" collapsed="false">
      <c r="A22" s="8"/>
      <c r="B22" s="10"/>
      <c r="C22" s="8"/>
      <c r="D22" s="17"/>
      <c r="E22" s="17"/>
      <c r="F22" s="11"/>
      <c r="G22" s="10"/>
      <c r="H22" s="8"/>
      <c r="I22" s="18" t="str">
        <f aca="false">IF(OR($D22="",$E22=""),"",IF(AND($D22&lt;=EOMONTH(I$8,0),$E22&gt;=I$8),"■",""))</f>
        <v/>
      </c>
      <c r="J22" s="18" t="str">
        <f aca="false">IF(OR($D22="",$E22=""),"",IF(AND($D22&lt;=EOMONTH(J$8,0),$E22&gt;=J$8),"■",""))</f>
        <v/>
      </c>
      <c r="K22" s="18" t="str">
        <f aca="false">IF(OR($D22="",$E22=""),"",IF(AND($D22&lt;=EOMONTH(K$8,0),$E22&gt;=K$8),"■",""))</f>
        <v/>
      </c>
      <c r="L22" s="18" t="str">
        <f aca="false">IF(OR($D22="",$E22=""),"",IF(AND($D22&lt;=EOMONTH(L$8,0),$E22&gt;=L$8),"■",""))</f>
        <v/>
      </c>
      <c r="M22" s="18" t="str">
        <f aca="false">IF(OR($D22="",$E22=""),"",IF(AND($D22&lt;=EOMONTH(M$8,0),$E22&gt;=M$8),"■",""))</f>
        <v/>
      </c>
      <c r="N22" s="18" t="str">
        <f aca="false">IF(OR($D22="",$E22=""),"",IF(AND($D22&lt;=EOMONTH(N$8,0),$E22&gt;=N$8),"■",""))</f>
        <v/>
      </c>
      <c r="O22" s="18" t="str">
        <f aca="false">IF(OR($D22="",$E22=""),"",IF(AND($D22&lt;=EOMONTH(O$8,0),$E22&gt;=O$8),"■",""))</f>
        <v/>
      </c>
      <c r="P22" s="18" t="str">
        <f aca="false">IF(OR($D22="",$E22=""),"",IF(AND($D22&lt;=EOMONTH(P$8,0),$E22&gt;=P$8),"■",""))</f>
        <v/>
      </c>
      <c r="Q22" s="18" t="str">
        <f aca="false">IF(OR($D22="",$E22=""),"",IF(AND($D22&lt;=EOMONTH(Q$8,0),$E22&gt;=Q$8),"■",""))</f>
        <v/>
      </c>
      <c r="R22" s="18" t="str">
        <f aca="false">IF(OR($D22="",$E22=""),"",IF(AND($D22&lt;=EOMONTH(R$8,0),$E22&gt;=R$8),"■",""))</f>
        <v/>
      </c>
      <c r="S22" s="18" t="str">
        <f aca="false">IF(OR($D22="",$E22=""),"",IF(AND($D22&lt;=EOMONTH(S$8,0),$E22&gt;=S$8),"■",""))</f>
        <v/>
      </c>
      <c r="T22" s="18" t="str">
        <f aca="false">IF(OR($D22="",$E22=""),"",IF(AND($D22&lt;=EOMONTH(T$8,0),$E22&gt;=T$8),"■",""))</f>
        <v/>
      </c>
    </row>
    <row r="23" customFormat="false" ht="36" hidden="false" customHeight="true" outlineLevel="0" collapsed="false">
      <c r="A23" s="8"/>
      <c r="B23" s="10"/>
      <c r="C23" s="8"/>
      <c r="D23" s="17"/>
      <c r="E23" s="17"/>
      <c r="F23" s="11"/>
      <c r="G23" s="10"/>
      <c r="H23" s="8"/>
      <c r="I23" s="18" t="str">
        <f aca="false">IF(OR($D23="",$E23=""),"",IF(AND($D23&lt;=EOMONTH(I$8,0),$E23&gt;=I$8),"■",""))</f>
        <v/>
      </c>
      <c r="J23" s="18" t="str">
        <f aca="false">IF(OR($D23="",$E23=""),"",IF(AND($D23&lt;=EOMONTH(J$8,0),$E23&gt;=J$8),"■",""))</f>
        <v/>
      </c>
      <c r="K23" s="18" t="str">
        <f aca="false">IF(OR($D23="",$E23=""),"",IF(AND($D23&lt;=EOMONTH(K$8,0),$E23&gt;=K$8),"■",""))</f>
        <v/>
      </c>
      <c r="L23" s="18" t="str">
        <f aca="false">IF(OR($D23="",$E23=""),"",IF(AND($D23&lt;=EOMONTH(L$8,0),$E23&gt;=L$8),"■",""))</f>
        <v/>
      </c>
      <c r="M23" s="18" t="str">
        <f aca="false">IF(OR($D23="",$E23=""),"",IF(AND($D23&lt;=EOMONTH(M$8,0),$E23&gt;=M$8),"■",""))</f>
        <v/>
      </c>
      <c r="N23" s="18" t="str">
        <f aca="false">IF(OR($D23="",$E23=""),"",IF(AND($D23&lt;=EOMONTH(N$8,0),$E23&gt;=N$8),"■",""))</f>
        <v/>
      </c>
      <c r="O23" s="18" t="str">
        <f aca="false">IF(OR($D23="",$E23=""),"",IF(AND($D23&lt;=EOMONTH(O$8,0),$E23&gt;=O$8),"■",""))</f>
        <v/>
      </c>
      <c r="P23" s="18" t="str">
        <f aca="false">IF(OR($D23="",$E23=""),"",IF(AND($D23&lt;=EOMONTH(P$8,0),$E23&gt;=P$8),"■",""))</f>
        <v/>
      </c>
      <c r="Q23" s="18" t="str">
        <f aca="false">IF(OR($D23="",$E23=""),"",IF(AND($D23&lt;=EOMONTH(Q$8,0),$E23&gt;=Q$8),"■",""))</f>
        <v/>
      </c>
      <c r="R23" s="18" t="str">
        <f aca="false">IF(OR($D23="",$E23=""),"",IF(AND($D23&lt;=EOMONTH(R$8,0),$E23&gt;=R$8),"■",""))</f>
        <v/>
      </c>
      <c r="S23" s="18" t="str">
        <f aca="false">IF(OR($D23="",$E23=""),"",IF(AND($D23&lt;=EOMONTH(S$8,0),$E23&gt;=S$8),"■",""))</f>
        <v/>
      </c>
      <c r="T23" s="18" t="str">
        <f aca="false">IF(OR($D23="",$E23=""),"",IF(AND($D23&lt;=EOMONTH(T$8,0),$E23&gt;=T$8),"■",""))</f>
        <v/>
      </c>
    </row>
    <row r="24" customFormat="false" ht="15" hidden="false" customHeight="false" outlineLevel="0" collapsed="false">
      <c r="B24" s="19" t="s">
        <v>57</v>
      </c>
      <c r="F24" s="20" t="n">
        <f aca="false">SUM(F9:F23)</f>
        <v>0</v>
      </c>
    </row>
    <row r="25" customFormat="false" ht="15" hidden="false" customHeight="false" outlineLevel="0" collapsed="false">
      <c r="B25" s="4" t="s">
        <v>58</v>
      </c>
      <c r="F25" s="13" t="str">
        <f aca="false">COUNTIF(H9:H23,"Fait")&amp;" / "&amp;COUNTA(B9:B23)</f>
        <v>0 / 0</v>
      </c>
    </row>
  </sheetData>
  <mergeCells count="1">
    <mergeCell ref="A5:T5"/>
  </mergeCells>
  <conditionalFormatting sqref="I9:T9">
    <cfRule type="expression" priority="2" aboveAverage="0" equalAverage="0" bottom="0" percent="0" rank="0" text="" dxfId="0">
      <formula>I9="■"</formula>
    </cfRule>
  </conditionalFormatting>
  <conditionalFormatting sqref="I10:T10">
    <cfRule type="expression" priority="3" aboveAverage="0" equalAverage="0" bottom="0" percent="0" rank="0" text="" dxfId="0">
      <formula>I10="■"</formula>
    </cfRule>
  </conditionalFormatting>
  <conditionalFormatting sqref="I11:T11">
    <cfRule type="expression" priority="4" aboveAverage="0" equalAverage="0" bottom="0" percent="0" rank="0" text="" dxfId="0">
      <formula>I11="■"</formula>
    </cfRule>
  </conditionalFormatting>
  <conditionalFormatting sqref="I12:T12">
    <cfRule type="expression" priority="5" aboveAverage="0" equalAverage="0" bottom="0" percent="0" rank="0" text="" dxfId="0">
      <formula>I12="■"</formula>
    </cfRule>
  </conditionalFormatting>
  <conditionalFormatting sqref="I13:T13">
    <cfRule type="expression" priority="6" aboveAverage="0" equalAverage="0" bottom="0" percent="0" rank="0" text="" dxfId="0">
      <formula>I13="■"</formula>
    </cfRule>
  </conditionalFormatting>
  <conditionalFormatting sqref="I14:T14">
    <cfRule type="expression" priority="7" aboveAverage="0" equalAverage="0" bottom="0" percent="0" rank="0" text="" dxfId="0">
      <formula>I14="■"</formula>
    </cfRule>
  </conditionalFormatting>
  <conditionalFormatting sqref="I15:T15">
    <cfRule type="expression" priority="8" aboveAverage="0" equalAverage="0" bottom="0" percent="0" rank="0" text="" dxfId="0">
      <formula>I15="■"</formula>
    </cfRule>
  </conditionalFormatting>
  <conditionalFormatting sqref="I16:T16">
    <cfRule type="expression" priority="9" aboveAverage="0" equalAverage="0" bottom="0" percent="0" rank="0" text="" dxfId="0">
      <formula>I16="■"</formula>
    </cfRule>
  </conditionalFormatting>
  <conditionalFormatting sqref="I17:T17">
    <cfRule type="expression" priority="10" aboveAverage="0" equalAverage="0" bottom="0" percent="0" rank="0" text="" dxfId="0">
      <formula>I17="■"</formula>
    </cfRule>
  </conditionalFormatting>
  <conditionalFormatting sqref="I18:T18">
    <cfRule type="expression" priority="11" aboveAverage="0" equalAverage="0" bottom="0" percent="0" rank="0" text="" dxfId="0">
      <formula>I18="■"</formula>
    </cfRule>
  </conditionalFormatting>
  <conditionalFormatting sqref="I19:T19">
    <cfRule type="expression" priority="12" aboveAverage="0" equalAverage="0" bottom="0" percent="0" rank="0" text="" dxfId="0">
      <formula>I19="■"</formula>
    </cfRule>
  </conditionalFormatting>
  <conditionalFormatting sqref="I20:T20">
    <cfRule type="expression" priority="13" aboveAverage="0" equalAverage="0" bottom="0" percent="0" rank="0" text="" dxfId="0">
      <formula>I20="■"</formula>
    </cfRule>
  </conditionalFormatting>
  <conditionalFormatting sqref="I21:T21">
    <cfRule type="expression" priority="14" aboveAverage="0" equalAverage="0" bottom="0" percent="0" rank="0" text="" dxfId="0">
      <formula>I21="■"</formula>
    </cfRule>
  </conditionalFormatting>
  <conditionalFormatting sqref="I22:T22">
    <cfRule type="expression" priority="15" aboveAverage="0" equalAverage="0" bottom="0" percent="0" rank="0" text="" dxfId="0">
      <formula>I22="■"</formula>
    </cfRule>
  </conditionalFormatting>
  <conditionalFormatting sqref="I23:T23">
    <cfRule type="expression" priority="16" aboveAverage="0" equalAverage="0" bottom="0" percent="0" rank="0" text="" dxfId="0">
      <formula>I23="■"</formula>
    </cfRule>
  </conditionalFormatting>
  <dataValidations count="1">
    <dataValidation allowBlank="true" errorStyle="stop" operator="between" showDropDown="false" showErrorMessage="false" showInputMessage="false" sqref="H9:H23" type="list">
      <formula1>"À faire,En cours,Fait,Abandonné"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8.5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true" outlineLevel="0" collapsed="false">
      <c r="A4" s="6" t="s">
        <v>30</v>
      </c>
      <c r="B4" s="6"/>
    </row>
    <row r="6" customFormat="false" ht="30" hidden="false" customHeight="true" outlineLevel="0" collapsed="false">
      <c r="A6" s="3" t="s">
        <v>61</v>
      </c>
      <c r="B6" s="3" t="s">
        <v>62</v>
      </c>
    </row>
    <row r="7" customFormat="false" ht="39.75" hidden="false" customHeight="true" outlineLevel="0" collapsed="false">
      <c r="A7" s="4" t="s">
        <v>63</v>
      </c>
      <c r="B7" s="5" t="s">
        <v>64</v>
      </c>
    </row>
    <row r="8" customFormat="false" ht="39.75" hidden="false" customHeight="true" outlineLevel="0" collapsed="false">
      <c r="A8" s="4" t="s">
        <v>65</v>
      </c>
      <c r="B8" s="5" t="s">
        <v>66</v>
      </c>
    </row>
    <row r="9" customFormat="false" ht="39.75" hidden="false" customHeight="true" outlineLevel="0" collapsed="false">
      <c r="A9" s="4" t="s">
        <v>67</v>
      </c>
      <c r="B9" s="5" t="s">
        <v>68</v>
      </c>
    </row>
    <row r="10" customFormat="false" ht="39.75" hidden="false" customHeight="true" outlineLevel="0" collapsed="false">
      <c r="A10" s="4" t="s">
        <v>69</v>
      </c>
      <c r="B10" s="5" t="s">
        <v>70</v>
      </c>
    </row>
    <row r="11" customFormat="false" ht="39.75" hidden="false" customHeight="true" outlineLevel="0" collapsed="false">
      <c r="A11" s="4" t="s">
        <v>71</v>
      </c>
      <c r="B11" s="5" t="s">
        <v>72</v>
      </c>
    </row>
    <row r="12" customFormat="false" ht="39.75" hidden="false" customHeight="true" outlineLevel="0" collapsed="false">
      <c r="A12" s="4" t="s">
        <v>73</v>
      </c>
      <c r="B12" s="5" t="s">
        <v>74</v>
      </c>
    </row>
    <row r="13" customFormat="false" ht="39.75" hidden="false" customHeight="true" outlineLevel="0" collapsed="false">
      <c r="A13" s="4" t="s">
        <v>75</v>
      </c>
      <c r="B13" s="5" t="s">
        <v>76</v>
      </c>
    </row>
    <row r="14" customFormat="false" ht="39.75" hidden="false" customHeight="true" outlineLevel="0" collapsed="false">
      <c r="A14" s="4" t="s">
        <v>77</v>
      </c>
      <c r="B14" s="5" t="s">
        <v>78</v>
      </c>
    </row>
    <row r="16" customFormat="false" ht="30" hidden="false" customHeight="true" outlineLevel="0" collapsed="false">
      <c r="A16" s="3" t="s">
        <v>79</v>
      </c>
      <c r="B16" s="3" t="s">
        <v>80</v>
      </c>
    </row>
    <row r="17" customFormat="false" ht="15" hidden="false" customHeight="false" outlineLevel="0" collapsed="false">
      <c r="A17" s="21" t="s">
        <v>81</v>
      </c>
      <c r="B17" s="11"/>
    </row>
    <row r="18" customFormat="false" ht="15" hidden="false" customHeight="false" outlineLevel="0" collapsed="false">
      <c r="A18" s="21" t="s">
        <v>82</v>
      </c>
      <c r="B18" s="11"/>
    </row>
    <row r="19" customFormat="false" ht="15" hidden="false" customHeight="false" outlineLevel="0" collapsed="false">
      <c r="A19" s="21" t="s">
        <v>83</v>
      </c>
      <c r="B19" s="22"/>
    </row>
    <row r="20" customFormat="false" ht="15" hidden="false" customHeight="false" outlineLevel="0" collapsed="false">
      <c r="A20" s="21" t="s">
        <v>84</v>
      </c>
      <c r="B20" s="11"/>
    </row>
    <row r="21" customFormat="false" ht="15" hidden="false" customHeight="false" outlineLevel="0" collapsed="false">
      <c r="A21" s="21" t="s">
        <v>85</v>
      </c>
      <c r="B21" s="11"/>
    </row>
    <row r="22" customFormat="false" ht="15" hidden="false" customHeight="false" outlineLevel="0" collapsed="false">
      <c r="A22" s="21" t="s">
        <v>86</v>
      </c>
      <c r="B22" s="11"/>
    </row>
    <row r="23" customFormat="false" ht="15" hidden="false" customHeight="false" outlineLevel="0" collapsed="false">
      <c r="A23" s="21" t="s">
        <v>87</v>
      </c>
      <c r="B23" s="11"/>
    </row>
    <row r="24" customFormat="false" ht="15" hidden="false" customHeight="false" outlineLevel="0" collapsed="false">
      <c r="A24" s="21" t="s">
        <v>88</v>
      </c>
      <c r="B24" s="11"/>
    </row>
    <row r="25" customFormat="false" ht="15" hidden="false" customHeight="false" outlineLevel="0" collapsed="false">
      <c r="A25" s="4" t="s">
        <v>89</v>
      </c>
      <c r="B25" s="14" t="str">
        <f aca="false">IF(N(B20)=0,"",B21/B20)</f>
        <v/>
      </c>
    </row>
    <row r="26" customFormat="false" ht="15" hidden="false" customHeight="false" outlineLevel="0" collapsed="false">
      <c r="A26" s="4" t="s">
        <v>90</v>
      </c>
      <c r="B26" s="14" t="str">
        <f aca="false">IF(N(B17)=0,"",B23/B17-1)</f>
        <v/>
      </c>
    </row>
  </sheetData>
  <mergeCells count="1">
    <mergeCell ref="A4:B4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18.5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27.75" hidden="false" customHeight="true" outlineLevel="0" collapsed="false">
      <c r="A4" s="23" t="s">
        <v>93</v>
      </c>
      <c r="B4" s="23"/>
      <c r="C4" s="23"/>
      <c r="D4" s="23"/>
    </row>
    <row r="6" customFormat="false" ht="15" hidden="false" customHeight="false" outlineLevel="0" collapsed="false">
      <c r="A6" s="9" t="s">
        <v>18</v>
      </c>
      <c r="B6" s="9"/>
      <c r="C6" s="9" t="s">
        <v>19</v>
      </c>
      <c r="D6" s="9"/>
    </row>
    <row r="7" customFormat="false" ht="30" hidden="false" customHeight="true" outlineLevel="0" collapsed="false">
      <c r="A7" s="10" t="s">
        <v>94</v>
      </c>
      <c r="B7" s="10"/>
      <c r="C7" s="10" t="s">
        <v>95</v>
      </c>
      <c r="D7" s="10"/>
    </row>
    <row r="8" customFormat="false" ht="30" hidden="false" customHeight="true" outlineLevel="0" collapsed="false">
      <c r="A8" s="10" t="s">
        <v>96</v>
      </c>
      <c r="B8" s="10"/>
      <c r="C8" s="10" t="s">
        <v>97</v>
      </c>
      <c r="D8" s="10"/>
    </row>
    <row r="9" customFormat="false" ht="30" hidden="false" customHeight="true" outlineLevel="0" collapsed="false">
      <c r="A9" s="10" t="s">
        <v>98</v>
      </c>
      <c r="B9" s="10"/>
      <c r="C9" s="10" t="s">
        <v>99</v>
      </c>
      <c r="D9" s="10"/>
    </row>
    <row r="10" customFormat="false" ht="30" hidden="false" customHeight="true" outlineLevel="0" collapsed="false">
      <c r="A10" s="10"/>
      <c r="B10" s="10"/>
      <c r="C10" s="10"/>
      <c r="D10" s="10"/>
    </row>
    <row r="11" customFormat="false" ht="30" hidden="false" customHeight="true" outlineLevel="0" collapsed="false">
      <c r="A11" s="10"/>
      <c r="B11" s="10"/>
      <c r="C11" s="10"/>
      <c r="D11" s="10"/>
    </row>
    <row r="12" customFormat="false" ht="30" hidden="false" customHeight="true" outlineLevel="0" collapsed="false">
      <c r="A12" s="10"/>
      <c r="B12" s="10"/>
      <c r="C12" s="10"/>
      <c r="D12" s="10"/>
    </row>
    <row r="14" customFormat="false" ht="15" hidden="false" customHeight="false" outlineLevel="0" collapsed="false">
      <c r="A14" s="9" t="s">
        <v>20</v>
      </c>
      <c r="B14" s="9"/>
      <c r="C14" s="9" t="s">
        <v>21</v>
      </c>
      <c r="D14" s="9"/>
    </row>
    <row r="15" customFormat="false" ht="30" hidden="false" customHeight="true" outlineLevel="0" collapsed="false">
      <c r="A15" s="10" t="s">
        <v>100</v>
      </c>
      <c r="B15" s="10"/>
      <c r="C15" s="10" t="s">
        <v>101</v>
      </c>
      <c r="D15" s="10"/>
    </row>
    <row r="16" customFormat="false" ht="30" hidden="false" customHeight="true" outlineLevel="0" collapsed="false">
      <c r="A16" s="10" t="s">
        <v>102</v>
      </c>
      <c r="B16" s="10"/>
      <c r="C16" s="10" t="s">
        <v>103</v>
      </c>
      <c r="D16" s="10"/>
    </row>
    <row r="17" customFormat="false" ht="30" hidden="false" customHeight="true" outlineLevel="0" collapsed="false">
      <c r="A17" s="10" t="s">
        <v>104</v>
      </c>
      <c r="B17" s="10"/>
      <c r="C17" s="10" t="s">
        <v>105</v>
      </c>
      <c r="D17" s="10"/>
    </row>
    <row r="18" customFormat="false" ht="30" hidden="false" customHeight="true" outlineLevel="0" collapsed="false">
      <c r="A18" s="10"/>
      <c r="B18" s="10"/>
      <c r="C18" s="10"/>
      <c r="D18" s="10"/>
    </row>
    <row r="19" customFormat="false" ht="30" hidden="false" customHeight="true" outlineLevel="0" collapsed="false">
      <c r="A19" s="10"/>
      <c r="B19" s="10"/>
      <c r="C19" s="10"/>
      <c r="D19" s="10"/>
    </row>
    <row r="20" customFormat="false" ht="30" hidden="false" customHeight="true" outlineLevel="0" collapsed="false">
      <c r="A20" s="10"/>
      <c r="B20" s="10"/>
      <c r="C20" s="10"/>
      <c r="D20" s="10"/>
    </row>
  </sheetData>
  <mergeCells count="29">
    <mergeCell ref="A4:D4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5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20" min="9" style="0" width="5"/>
  </cols>
  <sheetData>
    <row r="1" customFormat="false" ht="18.5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5" customFormat="false" ht="30" hidden="false" customHeight="true" outlineLevel="0" collapsed="false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  <c r="N5" s="3" t="s">
        <v>44</v>
      </c>
    </row>
    <row r="6" customFormat="false" ht="60" hidden="false" customHeight="true" outlineLevel="0" collapsed="false">
      <c r="A6" s="4" t="n">
        <v>1</v>
      </c>
      <c r="B6" s="10" t="s">
        <v>108</v>
      </c>
      <c r="C6" s="10" t="s">
        <v>109</v>
      </c>
      <c r="D6" s="11" t="n">
        <v>800000</v>
      </c>
      <c r="E6" s="11" t="n">
        <v>1000000</v>
      </c>
      <c r="F6" s="12" t="n">
        <v>46752</v>
      </c>
      <c r="G6" s="8" t="s">
        <v>110</v>
      </c>
      <c r="H6" s="8" t="s">
        <v>110</v>
      </c>
      <c r="I6" s="8" t="s">
        <v>110</v>
      </c>
      <c r="J6" s="8" t="s">
        <v>110</v>
      </c>
      <c r="K6" s="8" t="s">
        <v>110</v>
      </c>
      <c r="L6" s="13" t="str">
        <f aca="false">IF(B6="","",IF(COUNTIF(G6:K6,"Oui")=5,"Oui","À revoir"))</f>
        <v>Oui</v>
      </c>
      <c r="M6" s="11"/>
      <c r="N6" s="14" t="str">
        <f aca="false">IF(OR(M6="",E6="",D6="",E6=D6),"",(M6-D6)/(E6-D6))</f>
        <v/>
      </c>
    </row>
    <row r="7" customFormat="false" ht="60" hidden="false" customHeight="true" outlineLevel="0" collapsed="false">
      <c r="A7" s="4" t="n">
        <v>2</v>
      </c>
      <c r="B7" s="10" t="s">
        <v>111</v>
      </c>
      <c r="C7" s="10" t="s">
        <v>112</v>
      </c>
      <c r="D7" s="11" t="n">
        <v>0</v>
      </c>
      <c r="E7" s="11" t="n">
        <v>1</v>
      </c>
      <c r="F7" s="12" t="n">
        <v>46568</v>
      </c>
      <c r="G7" s="8" t="s">
        <v>110</v>
      </c>
      <c r="H7" s="8" t="s">
        <v>110</v>
      </c>
      <c r="I7" s="8" t="s">
        <v>110</v>
      </c>
      <c r="J7" s="8" t="s">
        <v>110</v>
      </c>
      <c r="K7" s="8" t="s">
        <v>110</v>
      </c>
      <c r="L7" s="13" t="str">
        <f aca="false">IF(B7="","",IF(COUNTIF(G7:K7,"Oui")=5,"Oui","À revoir"))</f>
        <v>Oui</v>
      </c>
      <c r="M7" s="11"/>
      <c r="N7" s="14" t="str">
        <f aca="false">IF(OR(M7="",E7="",D7="",E7=D7),"",(M7-D7)/(E7-D7))</f>
        <v/>
      </c>
    </row>
    <row r="8" customFormat="false" ht="60" hidden="false" customHeight="true" outlineLevel="0" collapsed="false">
      <c r="A8" s="4" t="n">
        <v>3</v>
      </c>
      <c r="B8" s="10" t="s">
        <v>113</v>
      </c>
      <c r="C8" s="10" t="s">
        <v>114</v>
      </c>
      <c r="D8" s="11" t="n">
        <v>0</v>
      </c>
      <c r="E8" s="11" t="n">
        <v>4</v>
      </c>
      <c r="F8" s="12" t="n">
        <v>46477</v>
      </c>
      <c r="G8" s="8" t="s">
        <v>110</v>
      </c>
      <c r="H8" s="8" t="s">
        <v>110</v>
      </c>
      <c r="I8" s="8" t="s">
        <v>110</v>
      </c>
      <c r="J8" s="8" t="s">
        <v>110</v>
      </c>
      <c r="K8" s="8" t="s">
        <v>110</v>
      </c>
      <c r="L8" s="13" t="str">
        <f aca="false">IF(B8="","",IF(COUNTIF(G8:K8,"Oui")=5,"Oui","À revoir"))</f>
        <v>Oui</v>
      </c>
      <c r="M8" s="11"/>
      <c r="N8" s="14" t="str">
        <f aca="false">IF(OR(M8="",E8="",D8="",E8=D8),"",(M8-D8)/(E8-D8))</f>
        <v/>
      </c>
    </row>
    <row r="10" customFormat="false" ht="15" hidden="false" customHeight="false" outlineLevel="0" collapsed="false">
      <c r="A10" s="7" t="s">
        <v>48</v>
      </c>
      <c r="B10" s="15" t="n">
        <v>46327</v>
      </c>
    </row>
    <row r="12" customFormat="false" ht="30" hidden="false" customHeight="true" outlineLevel="0" collapsed="false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54</v>
      </c>
      <c r="G12" s="3" t="s">
        <v>55</v>
      </c>
      <c r="H12" s="3" t="s">
        <v>56</v>
      </c>
      <c r="I12" s="16" t="n">
        <f aca="false">EDATE($B$10,0)</f>
        <v>46327</v>
      </c>
      <c r="J12" s="16" t="n">
        <f aca="false">EDATE($B$10,1)</f>
        <v>46357</v>
      </c>
      <c r="K12" s="16" t="n">
        <f aca="false">EDATE($B$10,2)</f>
        <v>46388</v>
      </c>
      <c r="L12" s="16" t="n">
        <f aca="false">EDATE($B$10,3)</f>
        <v>46419</v>
      </c>
      <c r="M12" s="16" t="n">
        <f aca="false">EDATE($B$10,4)</f>
        <v>46447</v>
      </c>
      <c r="N12" s="16" t="n">
        <f aca="false">EDATE($B$10,5)</f>
        <v>46478</v>
      </c>
      <c r="O12" s="16" t="n">
        <f aca="false">EDATE($B$10,6)</f>
        <v>46508</v>
      </c>
      <c r="P12" s="16" t="n">
        <f aca="false">EDATE($B$10,7)</f>
        <v>46539</v>
      </c>
      <c r="Q12" s="16" t="n">
        <f aca="false">EDATE($B$10,8)</f>
        <v>46569</v>
      </c>
      <c r="R12" s="16" t="n">
        <f aca="false">EDATE($B$10,9)</f>
        <v>46600</v>
      </c>
      <c r="S12" s="16" t="n">
        <f aca="false">EDATE($B$10,10)</f>
        <v>46631</v>
      </c>
      <c r="T12" s="16" t="n">
        <f aca="false">EDATE($B$10,11)</f>
        <v>46661</v>
      </c>
    </row>
    <row r="13" customFormat="false" ht="36" hidden="false" customHeight="true" outlineLevel="0" collapsed="false">
      <c r="A13" s="8" t="n">
        <v>1</v>
      </c>
      <c r="B13" s="10" t="s">
        <v>115</v>
      </c>
      <c r="C13" s="8" t="s">
        <v>116</v>
      </c>
      <c r="D13" s="17" t="n">
        <v>46327</v>
      </c>
      <c r="E13" s="17" t="n">
        <v>46356</v>
      </c>
      <c r="F13" s="11" t="n">
        <v>15000</v>
      </c>
      <c r="G13" s="10" t="s">
        <v>117</v>
      </c>
      <c r="H13" s="8" t="s">
        <v>118</v>
      </c>
      <c r="I13" s="18" t="str">
        <f aca="false">IF(OR($D13="",$E13=""),"",IF(AND($D13&lt;=EOMONTH(I$12,0),$E13&gt;=I$12),"■",""))</f>
        <v>■</v>
      </c>
      <c r="J13" s="18" t="str">
        <f aca="false">IF(OR($D13="",$E13=""),"",IF(AND($D13&lt;=EOMONTH(J$12,0),$E13&gt;=J$12),"■",""))</f>
        <v/>
      </c>
      <c r="K13" s="18" t="str">
        <f aca="false">IF(OR($D13="",$E13=""),"",IF(AND($D13&lt;=EOMONTH(K$12,0),$E13&gt;=K$12),"■",""))</f>
        <v/>
      </c>
      <c r="L13" s="18" t="str">
        <f aca="false">IF(OR($D13="",$E13=""),"",IF(AND($D13&lt;=EOMONTH(L$12,0),$E13&gt;=L$12),"■",""))</f>
        <v/>
      </c>
      <c r="M13" s="18" t="str">
        <f aca="false">IF(OR($D13="",$E13=""),"",IF(AND($D13&lt;=EOMONTH(M$12,0),$E13&gt;=M$12),"■",""))</f>
        <v/>
      </c>
      <c r="N13" s="18" t="str">
        <f aca="false">IF(OR($D13="",$E13=""),"",IF(AND($D13&lt;=EOMONTH(N$12,0),$E13&gt;=N$12),"■",""))</f>
        <v/>
      </c>
      <c r="O13" s="18" t="str">
        <f aca="false">IF(OR($D13="",$E13=""),"",IF(AND($D13&lt;=EOMONTH(O$12,0),$E13&gt;=O$12),"■",""))</f>
        <v/>
      </c>
      <c r="P13" s="18" t="str">
        <f aca="false">IF(OR($D13="",$E13=""),"",IF(AND($D13&lt;=EOMONTH(P$12,0),$E13&gt;=P$12),"■",""))</f>
        <v/>
      </c>
      <c r="Q13" s="18" t="str">
        <f aca="false">IF(OR($D13="",$E13=""),"",IF(AND($D13&lt;=EOMONTH(Q$12,0),$E13&gt;=Q$12),"■",""))</f>
        <v/>
      </c>
      <c r="R13" s="18" t="str">
        <f aca="false">IF(OR($D13="",$E13=""),"",IF(AND($D13&lt;=EOMONTH(R$12,0),$E13&gt;=R$12),"■",""))</f>
        <v/>
      </c>
      <c r="S13" s="18" t="str">
        <f aca="false">IF(OR($D13="",$E13=""),"",IF(AND($D13&lt;=EOMONTH(S$12,0),$E13&gt;=S$12),"■",""))</f>
        <v/>
      </c>
      <c r="T13" s="18" t="str">
        <f aca="false">IF(OR($D13="",$E13=""),"",IF(AND($D13&lt;=EOMONTH(T$12,0),$E13&gt;=T$12),"■",""))</f>
        <v/>
      </c>
    </row>
    <row r="14" customFormat="false" ht="36" hidden="false" customHeight="true" outlineLevel="0" collapsed="false">
      <c r="A14" s="8" t="n">
        <v>1</v>
      </c>
      <c r="B14" s="10" t="s">
        <v>119</v>
      </c>
      <c r="C14" s="8" t="s">
        <v>120</v>
      </c>
      <c r="D14" s="17" t="n">
        <v>46357</v>
      </c>
      <c r="E14" s="17" t="n">
        <v>46418</v>
      </c>
      <c r="F14" s="11" t="n">
        <v>20000</v>
      </c>
      <c r="G14" s="10" t="s">
        <v>121</v>
      </c>
      <c r="H14" s="8" t="s">
        <v>122</v>
      </c>
      <c r="I14" s="18" t="str">
        <f aca="false">IF(OR($D14="",$E14=""),"",IF(AND($D14&lt;=EOMONTH(I$12,0),$E14&gt;=I$12),"■",""))</f>
        <v/>
      </c>
      <c r="J14" s="18" t="str">
        <f aca="false">IF(OR($D14="",$E14=""),"",IF(AND($D14&lt;=EOMONTH(J$12,0),$E14&gt;=J$12),"■",""))</f>
        <v>■</v>
      </c>
      <c r="K14" s="18" t="str">
        <f aca="false">IF(OR($D14="",$E14=""),"",IF(AND($D14&lt;=EOMONTH(K$12,0),$E14&gt;=K$12),"■",""))</f>
        <v>■</v>
      </c>
      <c r="L14" s="18" t="str">
        <f aca="false">IF(OR($D14="",$E14=""),"",IF(AND($D14&lt;=EOMONTH(L$12,0),$E14&gt;=L$12),"■",""))</f>
        <v/>
      </c>
      <c r="M14" s="18" t="str">
        <f aca="false">IF(OR($D14="",$E14=""),"",IF(AND($D14&lt;=EOMONTH(M$12,0),$E14&gt;=M$12),"■",""))</f>
        <v/>
      </c>
      <c r="N14" s="18" t="str">
        <f aca="false">IF(OR($D14="",$E14=""),"",IF(AND($D14&lt;=EOMONTH(N$12,0),$E14&gt;=N$12),"■",""))</f>
        <v/>
      </c>
      <c r="O14" s="18" t="str">
        <f aca="false">IF(OR($D14="",$E14=""),"",IF(AND($D14&lt;=EOMONTH(O$12,0),$E14&gt;=O$12),"■",""))</f>
        <v/>
      </c>
      <c r="P14" s="18" t="str">
        <f aca="false">IF(OR($D14="",$E14=""),"",IF(AND($D14&lt;=EOMONTH(P$12,0),$E14&gt;=P$12),"■",""))</f>
        <v/>
      </c>
      <c r="Q14" s="18" t="str">
        <f aca="false">IF(OR($D14="",$E14=""),"",IF(AND($D14&lt;=EOMONTH(Q$12,0),$E14&gt;=Q$12),"■",""))</f>
        <v/>
      </c>
      <c r="R14" s="18" t="str">
        <f aca="false">IF(OR($D14="",$E14=""),"",IF(AND($D14&lt;=EOMONTH(R$12,0),$E14&gt;=R$12),"■",""))</f>
        <v/>
      </c>
      <c r="S14" s="18" t="str">
        <f aca="false">IF(OR($D14="",$E14=""),"",IF(AND($D14&lt;=EOMONTH(S$12,0),$E14&gt;=S$12),"■",""))</f>
        <v/>
      </c>
      <c r="T14" s="18" t="str">
        <f aca="false">IF(OR($D14="",$E14=""),"",IF(AND($D14&lt;=EOMONTH(T$12,0),$E14&gt;=T$12),"■",""))</f>
        <v/>
      </c>
    </row>
    <row r="15" customFormat="false" ht="36" hidden="false" customHeight="true" outlineLevel="0" collapsed="false">
      <c r="A15" s="8" t="n">
        <v>1</v>
      </c>
      <c r="B15" s="10" t="s">
        <v>123</v>
      </c>
      <c r="C15" s="8" t="s">
        <v>116</v>
      </c>
      <c r="D15" s="17" t="n">
        <v>46357</v>
      </c>
      <c r="E15" s="17" t="n">
        <v>46752</v>
      </c>
      <c r="F15" s="11" t="n">
        <v>0</v>
      </c>
      <c r="G15" s="10" t="s">
        <v>124</v>
      </c>
      <c r="H15" s="8" t="s">
        <v>122</v>
      </c>
      <c r="I15" s="18" t="str">
        <f aca="false">IF(OR($D15="",$E15=""),"",IF(AND($D15&lt;=EOMONTH(I$12,0),$E15&gt;=I$12),"■",""))</f>
        <v/>
      </c>
      <c r="J15" s="18" t="str">
        <f aca="false">IF(OR($D15="",$E15=""),"",IF(AND($D15&lt;=EOMONTH(J$12,0),$E15&gt;=J$12),"■",""))</f>
        <v>■</v>
      </c>
      <c r="K15" s="18" t="str">
        <f aca="false">IF(OR($D15="",$E15=""),"",IF(AND($D15&lt;=EOMONTH(K$12,0),$E15&gt;=K$12),"■",""))</f>
        <v>■</v>
      </c>
      <c r="L15" s="18" t="str">
        <f aca="false">IF(OR($D15="",$E15=""),"",IF(AND($D15&lt;=EOMONTH(L$12,0),$E15&gt;=L$12),"■",""))</f>
        <v>■</v>
      </c>
      <c r="M15" s="18" t="str">
        <f aca="false">IF(OR($D15="",$E15=""),"",IF(AND($D15&lt;=EOMONTH(M$12,0),$E15&gt;=M$12),"■",""))</f>
        <v>■</v>
      </c>
      <c r="N15" s="18" t="str">
        <f aca="false">IF(OR($D15="",$E15=""),"",IF(AND($D15&lt;=EOMONTH(N$12,0),$E15&gt;=N$12),"■",""))</f>
        <v>■</v>
      </c>
      <c r="O15" s="18" t="str">
        <f aca="false">IF(OR($D15="",$E15=""),"",IF(AND($D15&lt;=EOMONTH(O$12,0),$E15&gt;=O$12),"■",""))</f>
        <v>■</v>
      </c>
      <c r="P15" s="18" t="str">
        <f aca="false">IF(OR($D15="",$E15=""),"",IF(AND($D15&lt;=EOMONTH(P$12,0),$E15&gt;=P$12),"■",""))</f>
        <v>■</v>
      </c>
      <c r="Q15" s="18" t="str">
        <f aca="false">IF(OR($D15="",$E15=""),"",IF(AND($D15&lt;=EOMONTH(Q$12,0),$E15&gt;=Q$12),"■",""))</f>
        <v>■</v>
      </c>
      <c r="R15" s="18" t="str">
        <f aca="false">IF(OR($D15="",$E15=""),"",IF(AND($D15&lt;=EOMONTH(R$12,0),$E15&gt;=R$12),"■",""))</f>
        <v>■</v>
      </c>
      <c r="S15" s="18" t="str">
        <f aca="false">IF(OR($D15="",$E15=""),"",IF(AND($D15&lt;=EOMONTH(S$12,0),$E15&gt;=S$12),"■",""))</f>
        <v>■</v>
      </c>
      <c r="T15" s="18" t="str">
        <f aca="false">IF(OR($D15="",$E15=""),"",IF(AND($D15&lt;=EOMONTH(T$12,0),$E15&gt;=T$12),"■",""))</f>
        <v>■</v>
      </c>
    </row>
    <row r="16" customFormat="false" ht="36" hidden="false" customHeight="true" outlineLevel="0" collapsed="false">
      <c r="A16" s="8" t="n">
        <v>1</v>
      </c>
      <c r="B16" s="10" t="s">
        <v>125</v>
      </c>
      <c r="C16" s="8" t="s">
        <v>116</v>
      </c>
      <c r="D16" s="17" t="n">
        <v>46388</v>
      </c>
      <c r="E16" s="17" t="n">
        <v>46418</v>
      </c>
      <c r="F16" s="11" t="n">
        <v>0</v>
      </c>
      <c r="G16" s="10" t="s">
        <v>126</v>
      </c>
      <c r="H16" s="8" t="s">
        <v>122</v>
      </c>
      <c r="I16" s="18" t="str">
        <f aca="false">IF(OR($D16="",$E16=""),"",IF(AND($D16&lt;=EOMONTH(I$12,0),$E16&gt;=I$12),"■",""))</f>
        <v/>
      </c>
      <c r="J16" s="18" t="str">
        <f aca="false">IF(OR($D16="",$E16=""),"",IF(AND($D16&lt;=EOMONTH(J$12,0),$E16&gt;=J$12),"■",""))</f>
        <v/>
      </c>
      <c r="K16" s="18" t="str">
        <f aca="false">IF(OR($D16="",$E16=""),"",IF(AND($D16&lt;=EOMONTH(K$12,0),$E16&gt;=K$12),"■",""))</f>
        <v>■</v>
      </c>
      <c r="L16" s="18" t="str">
        <f aca="false">IF(OR($D16="",$E16=""),"",IF(AND($D16&lt;=EOMONTH(L$12,0),$E16&gt;=L$12),"■",""))</f>
        <v/>
      </c>
      <c r="M16" s="18" t="str">
        <f aca="false">IF(OR($D16="",$E16=""),"",IF(AND($D16&lt;=EOMONTH(M$12,0),$E16&gt;=M$12),"■",""))</f>
        <v/>
      </c>
      <c r="N16" s="18" t="str">
        <f aca="false">IF(OR($D16="",$E16=""),"",IF(AND($D16&lt;=EOMONTH(N$12,0),$E16&gt;=N$12),"■",""))</f>
        <v/>
      </c>
      <c r="O16" s="18" t="str">
        <f aca="false">IF(OR($D16="",$E16=""),"",IF(AND($D16&lt;=EOMONTH(O$12,0),$E16&gt;=O$12),"■",""))</f>
        <v/>
      </c>
      <c r="P16" s="18" t="str">
        <f aca="false">IF(OR($D16="",$E16=""),"",IF(AND($D16&lt;=EOMONTH(P$12,0),$E16&gt;=P$12),"■",""))</f>
        <v/>
      </c>
      <c r="Q16" s="18" t="str">
        <f aca="false">IF(OR($D16="",$E16=""),"",IF(AND($D16&lt;=EOMONTH(Q$12,0),$E16&gt;=Q$12),"■",""))</f>
        <v/>
      </c>
      <c r="R16" s="18" t="str">
        <f aca="false">IF(OR($D16="",$E16=""),"",IF(AND($D16&lt;=EOMONTH(R$12,0),$E16&gt;=R$12),"■",""))</f>
        <v/>
      </c>
      <c r="S16" s="18" t="str">
        <f aca="false">IF(OR($D16="",$E16=""),"",IF(AND($D16&lt;=EOMONTH(S$12,0),$E16&gt;=S$12),"■",""))</f>
        <v/>
      </c>
      <c r="T16" s="18" t="str">
        <f aca="false">IF(OR($D16="",$E16=""),"",IF(AND($D16&lt;=EOMONTH(T$12,0),$E16&gt;=T$12),"■",""))</f>
        <v/>
      </c>
    </row>
    <row r="17" customFormat="false" ht="36" hidden="false" customHeight="true" outlineLevel="0" collapsed="false">
      <c r="A17" s="8" t="n">
        <v>1</v>
      </c>
      <c r="B17" s="10" t="s">
        <v>127</v>
      </c>
      <c r="C17" s="8" t="s">
        <v>128</v>
      </c>
      <c r="D17" s="17" t="n">
        <v>46357</v>
      </c>
      <c r="E17" s="17" t="n">
        <v>46691</v>
      </c>
      <c r="F17" s="11" t="n">
        <v>0</v>
      </c>
      <c r="G17" s="10" t="s">
        <v>129</v>
      </c>
      <c r="H17" s="8" t="s">
        <v>122</v>
      </c>
      <c r="I17" s="18" t="str">
        <f aca="false">IF(OR($D17="",$E17=""),"",IF(AND($D17&lt;=EOMONTH(I$12,0),$E17&gt;=I$12),"■",""))</f>
        <v/>
      </c>
      <c r="J17" s="18" t="str">
        <f aca="false">IF(OR($D17="",$E17=""),"",IF(AND($D17&lt;=EOMONTH(J$12,0),$E17&gt;=J$12),"■",""))</f>
        <v>■</v>
      </c>
      <c r="K17" s="18" t="str">
        <f aca="false">IF(OR($D17="",$E17=""),"",IF(AND($D17&lt;=EOMONTH(K$12,0),$E17&gt;=K$12),"■",""))</f>
        <v>■</v>
      </c>
      <c r="L17" s="18" t="str">
        <f aca="false">IF(OR($D17="",$E17=""),"",IF(AND($D17&lt;=EOMONTH(L$12,0),$E17&gt;=L$12),"■",""))</f>
        <v>■</v>
      </c>
      <c r="M17" s="18" t="str">
        <f aca="false">IF(OR($D17="",$E17=""),"",IF(AND($D17&lt;=EOMONTH(M$12,0),$E17&gt;=M$12),"■",""))</f>
        <v>■</v>
      </c>
      <c r="N17" s="18" t="str">
        <f aca="false">IF(OR($D17="",$E17=""),"",IF(AND($D17&lt;=EOMONTH(N$12,0),$E17&gt;=N$12),"■",""))</f>
        <v>■</v>
      </c>
      <c r="O17" s="18" t="str">
        <f aca="false">IF(OR($D17="",$E17=""),"",IF(AND($D17&lt;=EOMONTH(O$12,0),$E17&gt;=O$12),"■",""))</f>
        <v>■</v>
      </c>
      <c r="P17" s="18" t="str">
        <f aca="false">IF(OR($D17="",$E17=""),"",IF(AND($D17&lt;=EOMONTH(P$12,0),$E17&gt;=P$12),"■",""))</f>
        <v>■</v>
      </c>
      <c r="Q17" s="18" t="str">
        <f aca="false">IF(OR($D17="",$E17=""),"",IF(AND($D17&lt;=EOMONTH(Q$12,0),$E17&gt;=Q$12),"■",""))</f>
        <v>■</v>
      </c>
      <c r="R17" s="18" t="str">
        <f aca="false">IF(OR($D17="",$E17=""),"",IF(AND($D17&lt;=EOMONTH(R$12,0),$E17&gt;=R$12),"■",""))</f>
        <v>■</v>
      </c>
      <c r="S17" s="18" t="str">
        <f aca="false">IF(OR($D17="",$E17=""),"",IF(AND($D17&lt;=EOMONTH(S$12,0),$E17&gt;=S$12),"■",""))</f>
        <v>■</v>
      </c>
      <c r="T17" s="18" t="str">
        <f aca="false">IF(OR($D17="",$E17=""),"",IF(AND($D17&lt;=EOMONTH(T$12,0),$E17&gt;=T$12),"■",""))</f>
        <v>■</v>
      </c>
    </row>
    <row r="18" customFormat="false" ht="36" hidden="false" customHeight="true" outlineLevel="0" collapsed="false">
      <c r="A18" s="8"/>
      <c r="B18" s="10"/>
      <c r="C18" s="8"/>
      <c r="D18" s="17"/>
      <c r="E18" s="17"/>
      <c r="F18" s="11"/>
      <c r="G18" s="10"/>
      <c r="H18" s="8"/>
      <c r="I18" s="18" t="str">
        <f aca="false">IF(OR($D18="",$E18=""),"",IF(AND($D18&lt;=EOMONTH(I$12,0),$E18&gt;=I$12),"■",""))</f>
        <v/>
      </c>
      <c r="J18" s="18" t="str">
        <f aca="false">IF(OR($D18="",$E18=""),"",IF(AND($D18&lt;=EOMONTH(J$12,0),$E18&gt;=J$12),"■",""))</f>
        <v/>
      </c>
      <c r="K18" s="18" t="str">
        <f aca="false">IF(OR($D18="",$E18=""),"",IF(AND($D18&lt;=EOMONTH(K$12,0),$E18&gt;=K$12),"■",""))</f>
        <v/>
      </c>
      <c r="L18" s="18" t="str">
        <f aca="false">IF(OR($D18="",$E18=""),"",IF(AND($D18&lt;=EOMONTH(L$12,0),$E18&gt;=L$12),"■",""))</f>
        <v/>
      </c>
      <c r="M18" s="18" t="str">
        <f aca="false">IF(OR($D18="",$E18=""),"",IF(AND($D18&lt;=EOMONTH(M$12,0),$E18&gt;=M$12),"■",""))</f>
        <v/>
      </c>
      <c r="N18" s="18" t="str">
        <f aca="false">IF(OR($D18="",$E18=""),"",IF(AND($D18&lt;=EOMONTH(N$12,0),$E18&gt;=N$12),"■",""))</f>
        <v/>
      </c>
      <c r="O18" s="18" t="str">
        <f aca="false">IF(OR($D18="",$E18=""),"",IF(AND($D18&lt;=EOMONTH(O$12,0),$E18&gt;=O$12),"■",""))</f>
        <v/>
      </c>
      <c r="P18" s="18" t="str">
        <f aca="false">IF(OR($D18="",$E18=""),"",IF(AND($D18&lt;=EOMONTH(P$12,0),$E18&gt;=P$12),"■",""))</f>
        <v/>
      </c>
      <c r="Q18" s="18" t="str">
        <f aca="false">IF(OR($D18="",$E18=""),"",IF(AND($D18&lt;=EOMONTH(Q$12,0),$E18&gt;=Q$12),"■",""))</f>
        <v/>
      </c>
      <c r="R18" s="18" t="str">
        <f aca="false">IF(OR($D18="",$E18=""),"",IF(AND($D18&lt;=EOMONTH(R$12,0),$E18&gt;=R$12),"■",""))</f>
        <v/>
      </c>
      <c r="S18" s="18" t="str">
        <f aca="false">IF(OR($D18="",$E18=""),"",IF(AND($D18&lt;=EOMONTH(S$12,0),$E18&gt;=S$12),"■",""))</f>
        <v/>
      </c>
      <c r="T18" s="18" t="str">
        <f aca="false">IF(OR($D18="",$E18=""),"",IF(AND($D18&lt;=EOMONTH(T$12,0),$E18&gt;=T$12),"■",""))</f>
        <v/>
      </c>
    </row>
    <row r="19" customFormat="false" ht="15" hidden="false" customHeight="false" outlineLevel="0" collapsed="false">
      <c r="B19" s="19" t="s">
        <v>57</v>
      </c>
      <c r="F19" s="20" t="n">
        <f aca="false">SUM(F13:F18)</f>
        <v>35000</v>
      </c>
    </row>
    <row r="20" customFormat="false" ht="15" hidden="false" customHeight="false" outlineLevel="0" collapsed="false">
      <c r="B20" s="4" t="s">
        <v>58</v>
      </c>
      <c r="F20" s="13" t="str">
        <f aca="false">COUNTIF(H13:H18,"Fait")&amp;" / "&amp;COUNTA(B13:B18)</f>
        <v>0 / 5</v>
      </c>
    </row>
  </sheetData>
  <conditionalFormatting sqref="I13:T13">
    <cfRule type="expression" priority="2" aboveAverage="0" equalAverage="0" bottom="0" percent="0" rank="0" text="" dxfId="0">
      <formula>I13="■"</formula>
    </cfRule>
  </conditionalFormatting>
  <conditionalFormatting sqref="I14:T14">
    <cfRule type="expression" priority="3" aboveAverage="0" equalAverage="0" bottom="0" percent="0" rank="0" text="" dxfId="0">
      <formula>I14="■"</formula>
    </cfRule>
  </conditionalFormatting>
  <conditionalFormatting sqref="I15:T15">
    <cfRule type="expression" priority="4" aboveAverage="0" equalAverage="0" bottom="0" percent="0" rank="0" text="" dxfId="0">
      <formula>I15="■"</formula>
    </cfRule>
  </conditionalFormatting>
  <conditionalFormatting sqref="I16:T16">
    <cfRule type="expression" priority="5" aboveAverage="0" equalAverage="0" bottom="0" percent="0" rank="0" text="" dxfId="0">
      <formula>I16="■"</formula>
    </cfRule>
  </conditionalFormatting>
  <conditionalFormatting sqref="I17:T17">
    <cfRule type="expression" priority="6" aboveAverage="0" equalAverage="0" bottom="0" percent="0" rank="0" text="" dxfId="0">
      <formula>I17="■"</formula>
    </cfRule>
  </conditionalFormatting>
  <conditionalFormatting sqref="I18:T18">
    <cfRule type="expression" priority="7" aboveAverage="0" equalAverage="0" bottom="0" percent="0" rank="0" text="" dxfId="0">
      <formula>I18="■"</formula>
    </cfRule>
  </conditionalFormatting>
  <dataValidations count="2">
    <dataValidation allowBlank="true" errorStyle="stop" operator="between" showDropDown="false" showErrorMessage="false" showInputMessage="false" sqref="G6:K8" type="list">
      <formula1>"Oui,Non"</formula1>
      <formula2>0</formula2>
    </dataValidation>
    <dataValidation allowBlank="true" errorStyle="stop" operator="between" showDropDown="false" showErrorMessage="false" showInputMessage="false" sqref="H13:H18" type="list">
      <formula1>"À faire,En cours,Fait,Abandonné"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2026-10-30T12:35:01Z</dcterms:created>
  <dc:creator>openpyxl</dc:creator>
  <dc:description/>
  <dc:language>en-US</dc:language>
  <cp:lastModifiedBy/>
  <dcterms:modified xsi:type="dcterms:W3CDTF">2026-10-30T12:35:01Z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