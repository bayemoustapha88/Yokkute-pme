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_d_emploi" sheetId="1" state="visible" r:id="rId3"/>
    <sheet name="Compte_resultat" sheetId="2" state="visible" r:id="rId4"/>
    <sheet name="Plan_tresorerie" sheetId="3" state="visible" r:id="rId5"/>
    <sheet name="Calendrier_saisonnier" sheetId="4" state="visible" r:id="rId6"/>
    <sheet name="Capacite_credit" sheetId="5" state="visible" r:id="rId7"/>
    <sheet name="Lettre_credit" sheetId="6" state="visible" r:id="rId8"/>
    <sheet name="Plan_financement" sheetId="7" state="visible" r:id="rId9"/>
    <sheet name="Cas_Aid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<sst xmlns="http://schemas.openxmlformats.org/spreadsheetml/2006/main" count="212" uniqueCount="178">
  <si>
    <t xml:space="preserve">MC2 · Piloter sa trésorerie et préparer son crédit</t>
  </si>
  <si>
    <t xml:space="preserve">Outils participants · TAXAWU PME Module 4 · CADE / CCIAK</t>
  </si>
  <si>
    <t xml:space="preserve">Ce classeur contient les outils de la masterclass MC2 et le cas d'Aïda. Les outils s'enchaînent : journal de caisse (MC1) → compte de résultat → plan de trésorerie → capacité de remboursement.</t>
  </si>
  <si>
    <t xml:space="preserve">Onglet</t>
  </si>
  <si>
    <t xml:space="preserve">Usage</t>
  </si>
  <si>
    <t xml:space="preserve">Compte_resultat</t>
  </si>
  <si>
    <t xml:space="preserve">Chaque fin de mois : ventes, achats utilisés, charges et rémunération du promoteur. Donne le résultat du mois et du trimestre.</t>
  </si>
  <si>
    <t xml:space="preserve">Plan_tresorerie</t>
  </si>
  <si>
    <t xml:space="preserve">Six mois à venir : encaissements et décaissements prévus. Les mois où la caisse sera négative s'affichent en rouge.</t>
  </si>
  <si>
    <t xml:space="preserve">Calendrier_saisonnier</t>
  </si>
  <si>
    <t xml:space="preserve">Les douze mois de l'année : mois forts et creux, événements, épargne ou acomptes prévus.</t>
  </si>
  <si>
    <t xml:space="preserve">Capacite_credit</t>
  </si>
  <si>
    <t xml:space="preserve">Calcule l'échéance supportable et compare les durées de crédit. Sert à remplir la lettre de demande.</t>
  </si>
  <si>
    <t xml:space="preserve">Lettre_credit</t>
  </si>
  <si>
    <t xml:space="preserve">Modèle de lettre de demande de crédit, à recopier ou imprimer et compléter.</t>
  </si>
  <si>
    <t xml:space="preserve">Plan_financement</t>
  </si>
  <si>
    <t xml:space="preserve">Coût total d'un investissement, apport, crédit demandé et autres ressources : le total doit être équilibré.</t>
  </si>
  <si>
    <t xml:space="preserve">Cas_Aida</t>
  </si>
  <si>
    <t xml:space="preserve">Le cas pratique de la séance, avec le corrigé calculé. Sert d'exemple de remplissage.</t>
  </si>
  <si>
    <t xml:space="preserve">Cellules jaunes à texte bleu : à remplir. Cellules blanches : calculées, ne pas modifier. Montants en FCFA. Le seuil de prudence de 50 % de l'excédent est un repère du CADE, pas une règle des institutions financières.</t>
  </si>
  <si>
    <t xml:space="preserve">Compte de résultat simplifié</t>
  </si>
  <si>
    <t xml:space="preserve">Chaque fin de mois, à partir du journal de caisse · montants en FCFA</t>
  </si>
  <si>
    <t xml:space="preserve">Entreprise</t>
  </si>
  <si>
    <t xml:space="preserve">Année</t>
  </si>
  <si>
    <t xml:space="preserve">Cellules jaunes à texte bleu : à remplir. Cellules blanches : calculées automatiquement, ne pas modifier.</t>
  </si>
  <si>
    <t xml:space="preserve">Mois</t>
  </si>
  <si>
    <t xml:space="preserve">Janv.</t>
  </si>
  <si>
    <t xml:space="preserve">Févr.</t>
  </si>
  <si>
    <t xml:space="preserve">Mars</t>
  </si>
  <si>
    <t xml:space="preserve">Avr.</t>
  </si>
  <si>
    <t xml:space="preserve">Mai</t>
  </si>
  <si>
    <t xml:space="preserve">Juin</t>
  </si>
  <si>
    <t xml:space="preserve">Juil.</t>
  </si>
  <si>
    <t xml:space="preserve">Août</t>
  </si>
  <si>
    <t xml:space="preserve">Sept.</t>
  </si>
  <si>
    <t xml:space="preserve">Oct.</t>
  </si>
  <si>
    <t xml:space="preserve">Nov.</t>
  </si>
  <si>
    <t xml:space="preserve">Déc.</t>
  </si>
  <si>
    <t xml:space="preserve">Total</t>
  </si>
  <si>
    <t xml:space="preserve">Ventes du mois</t>
  </si>
  <si>
    <t xml:space="preserve">Achats de marchandises ou matières utilisées</t>
  </si>
  <si>
    <t xml:space="preserve">Marge brute</t>
  </si>
  <si>
    <t xml:space="preserve">Salaires et main-d'œuvre</t>
  </si>
  <si>
    <t xml:space="preserve">Loyer</t>
  </si>
  <si>
    <t xml:space="preserve">Électricité, eau, gaz</t>
  </si>
  <si>
    <t xml:space="preserve">Transport, téléphone, divers</t>
  </si>
  <si>
    <t xml:space="preserve">Impôts, taxes, droits de place</t>
  </si>
  <si>
    <t xml:space="preserve">Intérêts du crédit (pas le capital)</t>
  </si>
  <si>
    <t xml:space="preserve">Rémunération du promoteur</t>
  </si>
  <si>
    <t xml:space="preserve">Total des charges</t>
  </si>
  <si>
    <t xml:space="preserve">Résultat du mois</t>
  </si>
  <si>
    <t xml:space="preserve">Le remboursement du capital d'un crédit n'est pas une charge : il ne figure pas ici, mais il figure dans le plan de trésorerie. Les intérêts, eux, sont une charge.</t>
  </si>
  <si>
    <t xml:space="preserve">Plan de trésorerie sur six mois</t>
  </si>
  <si>
    <t xml:space="preserve">Inscrire l'argent au mois où il entre ou sort réellement · montants en FCFA</t>
  </si>
  <si>
    <t xml:space="preserve">Argent disponible au départ</t>
  </si>
  <si>
    <t xml:space="preserve">Mois (à écrire)</t>
  </si>
  <si>
    <t xml:space="preserve">Solde de début de mois</t>
  </si>
  <si>
    <t xml:space="preserve">ENCAISSEMENTS</t>
  </si>
  <si>
    <t xml:space="preserve">Ventes au comptant</t>
  </si>
  <si>
    <t xml:space="preserve">Encaissement de ventes à crédit et acomptes</t>
  </si>
  <si>
    <t xml:space="preserve">Crédit reçu, apport, autres entrées</t>
  </si>
  <si>
    <t xml:space="preserve">Total des encaissements</t>
  </si>
  <si>
    <t xml:space="preserve">DÉCAISSEMENTS</t>
  </si>
  <si>
    <t xml:space="preserve">Achats de marchandises ou matières</t>
  </si>
  <si>
    <t xml:space="preserve">Électricité, eau, transport, téléphone, divers</t>
  </si>
  <si>
    <t xml:space="preserve">Remboursement de crédit (capital et intérêts)</t>
  </si>
  <si>
    <t xml:space="preserve">Achat d'équipement</t>
  </si>
  <si>
    <t xml:space="preserve">Total des décaissements</t>
  </si>
  <si>
    <t xml:space="preserve">Solde de fin de mois</t>
  </si>
  <si>
    <t xml:space="preserve">Excédent des 6 mois (encaissements − décaissements)</t>
  </si>
  <si>
    <t xml:space="preserve">Excédent mensuel moyen</t>
  </si>
  <si>
    <t xml:space="preserve">Mois au solde négatif</t>
  </si>
  <si>
    <t xml:space="preserve">Un solde négatif est une alerte : décidez maintenant d'un levier (épargne, acompte, achat étalé, délai fournisseur, rémunération réduite ce mois-là) et refaites le calcul.</t>
  </si>
  <si>
    <t xml:space="preserve">Calendrier de trésorerie saisonnier</t>
  </si>
  <si>
    <t xml:space="preserve">Une fois par an · repérer les mois forts et creux et décider à l'avance</t>
  </si>
  <si>
    <t xml:space="preserve">Niveau d'activité</t>
  </si>
  <si>
    <t xml:space="preserve">Ce qui se passe (fêtes, rentrée, hivernage, campagne…)</t>
  </si>
  <si>
    <t xml:space="preserve">Ce que je décide</t>
  </si>
  <si>
    <t xml:space="preserve">Épargne à déposer (FCFA)</t>
  </si>
  <si>
    <t xml:space="preserve">Acomptes attendus (FCFA)</t>
  </si>
  <si>
    <t xml:space="preserve">Janvier</t>
  </si>
  <si>
    <t xml:space="preserve">Février</t>
  </si>
  <si>
    <t xml:space="preserve">Avril</t>
  </si>
  <si>
    <t xml:space="preserve">Juillet</t>
  </si>
  <si>
    <t xml:space="preserve">Septembre</t>
  </si>
  <si>
    <t xml:space="preserve">Octobre</t>
  </si>
  <si>
    <t xml:space="preserve">Novembre</t>
  </si>
  <si>
    <t xml:space="preserve">Décembre</t>
  </si>
  <si>
    <t xml:space="preserve">Les dates de la Korité, de la Tabaski et du Maouloud avancent d'environ onze jours chaque année : vérifiez-les au moment de remplir. En 2027 (dates provisoires) : Korité vers le 10 mars, Tabaski vers le 17 mai, Maouloud vers le 15 août.</t>
  </si>
  <si>
    <t xml:space="preserve">Capacité de remboursement</t>
  </si>
  <si>
    <t xml:space="preserve">Avant toute demande de crédit · montants en FCFA</t>
  </si>
  <si>
    <t xml:space="preserve">Élément</t>
  </si>
  <si>
    <t xml:space="preserve">Valeur</t>
  </si>
  <si>
    <t xml:space="preserve">Excédent mensuel moyen actuel (onglet Plan_tresorerie)</t>
  </si>
  <si>
    <t xml:space="preserve">Ventes supplémentaires par mois attendues de l'investissement</t>
  </si>
  <si>
    <t xml:space="preserve">Coûts supplémentaires par mois (matières, énergie, main-d'œuvre)</t>
  </si>
  <si>
    <t xml:space="preserve">Excédent supplémentaire attendu</t>
  </si>
  <si>
    <t xml:space="preserve">Excédent mensuel total avec l'investissement</t>
  </si>
  <si>
    <t xml:space="preserve">Part de l'excédent consacrée au remboursement (repère : 50 %)</t>
  </si>
  <si>
    <t xml:space="preserve">Échéance maximale prudente</t>
  </si>
  <si>
    <t xml:space="preserve">Montant du crédit demandé</t>
  </si>
  <si>
    <t xml:space="preserve">Taux d'intérêt annuel proposé</t>
  </si>
  <si>
    <t xml:space="preserve">Frais de dossier et assurance (montant total)</t>
  </si>
  <si>
    <t xml:space="preserve">Durée du crédit (mois)</t>
  </si>
  <si>
    <t xml:space="preserve">Échéance mensuelle</t>
  </si>
  <si>
    <t xml:space="preserve">Coût total (intérêts + frais)</t>
  </si>
  <si>
    <t xml:space="preserve">Supportable ?</t>
  </si>
  <si>
    <t xml:space="preserve">Taux d'usure en vigueur depuis le 1er juin 2026 (décision n° 19 du 29/12/2025 du Conseil des ministres de l'UMOA) : 14 % l'an pour les banques, 24 % l'an pour les institutions de microfinance. Échéances calculées en mensualités constantes ; l'offre réelle de l'institution peut différer.</t>
  </si>
  <si>
    <t xml:space="preserve">Lettre de demande de crédit</t>
  </si>
  <si>
    <t xml:space="preserve">Modèle à compléter · une page</t>
  </si>
  <si>
    <t xml:space="preserve">[Prénom et nom du promoteur]</t>
  </si>
  <si>
    <t xml:space="preserve">[Nom de l'entreprise] · NINEA : [……] · Matricule CCIAK : [……]</t>
  </si>
  <si>
    <t xml:space="preserve">[Adresse] · [Téléphone]</t>
  </si>
  <si>
    <t xml:space="preserve">À l'attention de Monsieur / Madame le Directeur de [nom de l'institution], agence de [ville]</t>
  </si>
  <si>
    <t xml:space="preserve">Kaolack, le [date]</t>
  </si>
  <si>
    <t xml:space="preserve">Objet : demande de crédit de [montant] FCFA pour [objet]</t>
  </si>
  <si>
    <t xml:space="preserve">Monsieur / Madame le Directeur,</t>
  </si>
  <si>
    <t xml:space="preserve">Je dirige depuis [nombre] ans l'entreprise [nom], spécialisée dans [activité], située à [quartier, commune]. Elle emploie [nombre] personnes. Sur les trois derniers mois, ses ventes ont été en moyenne de [montant] FCFA par mois, et son résultat, après ma rémunération, de [montant] FCFA par mois. Ces chiffres sont tirés de mon journal de caisse et de mon compte de résultat, que je joins.</t>
  </si>
  <si>
    <t xml:space="preserve">J'ai l'honneur de solliciter un crédit de [montant] FCFA, remboursable sur [durée] mois, pour financer [objet précis : équipement, stock, aménagement]. Le coût total du projet est de [montant] FCFA ; j'apporte personnellement [montant] FCFA, soit [pourcentage] %, comme le montre le plan de financement joint.</t>
  </si>
  <si>
    <t xml:space="preserve">Cet investissement me permettra de [effet attendu : produire plus, répondre aux commandes de …], soit environ [montant] FCFA de ventes supplémentaires par mois. Mon plan de trésorerie montre un excédent mensuel moyen de [montant] FCFA, ce qui me permet de supporter une échéance de [montant] FCFA.</t>
  </si>
  <si>
    <t xml:space="preserve">Je suis cliente / client de votre institution depuis [durée] et j'y épargne [montant] FCFA par mois. Je suis accompagné(e) par le CADE de la Chambre de Commerce, d'Industrie et d'Agriculture de Kaolack.</t>
  </si>
  <si>
    <t xml:space="preserve">Je reste à votre disposition pour tout complément d'information et vous prie d'agréer, Monsieur / Madame le Directeur, l'expression de mes salutations distinguées.</t>
  </si>
  <si>
    <t xml:space="preserve">[Signature]</t>
  </si>
  <si>
    <t xml:space="preserve">Pièces jointes : copie de la pièce d'identité · justificatif d'activité (NINEA, registre, attestation CCIAK) · compte de résultat des 3 derniers mois · plan de trésorerie sur 6 mois · plan de financement · devis · relevé d'épargne</t>
  </si>
  <si>
    <t xml:space="preserve">Plan de financement de l'investissement</t>
  </si>
  <si>
    <t xml:space="preserve">Ce que coûte le projet et comment il est payé · montants en FCFA</t>
  </si>
  <si>
    <t xml:space="preserve">Projet</t>
  </si>
  <si>
    <t xml:space="preserve">Besoins (ce qu'il faut payer)</t>
  </si>
  <si>
    <t xml:space="preserve">Montant</t>
  </si>
  <si>
    <t xml:space="preserve">Ressources (qui paie)</t>
  </si>
  <si>
    <t xml:space="preserve">Équipement (selon devis)</t>
  </si>
  <si>
    <t xml:space="preserve">Apport personnel du promoteur</t>
  </si>
  <si>
    <t xml:space="preserve">Installation, transport, aménagement</t>
  </si>
  <si>
    <t xml:space="preserve">Crédit demandé</t>
  </si>
  <si>
    <t xml:space="preserve">Formation à l'utilisation</t>
  </si>
  <si>
    <t xml:space="preserve">Subvention ou appui d'un programme</t>
  </si>
  <si>
    <t xml:space="preserve">Stock de départ ou matières premières</t>
  </si>
  <si>
    <t xml:space="preserve">Autre (associé, famille, tontine)</t>
  </si>
  <si>
    <t xml:space="preserve">Fonds de roulement (2 à 3 mois de charges)</t>
  </si>
  <si>
    <t xml:space="preserve">Frais de dossier, assurance, garantie</t>
  </si>
  <si>
    <t xml:space="preserve">Total des besoins</t>
  </si>
  <si>
    <t xml:space="preserve">Total des ressources</t>
  </si>
  <si>
    <t xml:space="preserve">Écart (ressources − besoins) : doit être nul</t>
  </si>
  <si>
    <t xml:space="preserve">Part de l'apport personnel dans le projet</t>
  </si>
  <si>
    <t xml:space="preserve">Contrôle</t>
  </si>
  <si>
    <t xml:space="preserve">Les institutions demandent souvent un apport personnel ; la part exigée varie selon l'institution et le programme. Joindre les devis de l'équipement. Le fonds de roulement est l'argent qui permet de fonctionner en attendant que le projet rapporte : ne l'oubliez pas.</t>
  </si>
  <si>
    <t xml:space="preserve">Cas pratique · Aïda, couturière à Kaolack</t>
  </si>
  <si>
    <t xml:space="preserve">Énoncé et corrigé calculé · montants illustratifs en milliers de FCFA</t>
  </si>
  <si>
    <t xml:space="preserve">Aïda tient un atelier de couture avec un ouvrier et deux apprentis. Son activité est rentable, mais sa caisse est vide deux fois par an. Elle veut emprunter 900 000 FCFA pour une machine à broder.</t>
  </si>
  <si>
    <t xml:space="preserve">Partie A · Compte de résultat des trois derniers mois</t>
  </si>
  <si>
    <t xml:space="preserve">Ventes</t>
  </si>
  <si>
    <t xml:space="preserve">Tissus et fournitures utilisés</t>
  </si>
  <si>
    <t xml:space="preserve">Salaires</t>
  </si>
  <si>
    <t xml:space="preserve">Électricité</t>
  </si>
  <si>
    <t xml:space="preserve">Divers</t>
  </si>
  <si>
    <t xml:space="preserve">Rémunération d'Aïda</t>
  </si>
  <si>
    <t xml:space="preserve">Résultat</t>
  </si>
  <si>
    <t xml:space="preserve">Partie B · Plan de trésorerie de janvier à juin 2027</t>
  </si>
  <si>
    <t xml:space="preserve">Solde de début</t>
  </si>
  <si>
    <t xml:space="preserve">Encaissements</t>
  </si>
  <si>
    <t xml:space="preserve">Achats de tissus</t>
  </si>
  <si>
    <t xml:space="preserve">Électricité et divers</t>
  </si>
  <si>
    <t xml:space="preserve">Solde de fin</t>
  </si>
  <si>
    <t xml:space="preserve">Avec acomptes (100 en janvier, 300 en avril)</t>
  </si>
  <si>
    <t xml:space="preserve">H26 = excédent des six mois (encaissements − décaissements). Avec les acomptes, tous les soldes deviennent positifs sans emprunter.</t>
  </si>
  <si>
    <t xml:space="preserve">Partie C · Capacité de remboursement (FCFA)</t>
  </si>
  <si>
    <t xml:space="preserve">Excédent mensuel actuel</t>
  </si>
  <si>
    <t xml:space="preserve">Ventes supplémentaires de la machine</t>
  </si>
  <si>
    <t xml:space="preserve">Coûts supplémentaires (fils et tissus, électricité, prime)</t>
  </si>
  <si>
    <t xml:space="preserve">Excédent supplémentaire</t>
  </si>
  <si>
    <t xml:space="preserve">Excédent total</t>
  </si>
  <si>
    <t xml:space="preserve">Échéance maximale prudente (50 %)</t>
  </si>
  <si>
    <t xml:space="preserve">Montant du crédit</t>
  </si>
  <si>
    <t xml:space="preserve">Taux annuel</t>
  </si>
  <si>
    <t xml:space="preserve">Échéance sur 12 mois</t>
  </si>
  <si>
    <t xml:space="preserve">Échéance sur 18 mois</t>
  </si>
  <si>
    <t xml:space="preserve">Intérêts totaux sur 12 mois</t>
  </si>
  <si>
    <t xml:space="preserve">Intérêts totaux sur 18 mois</t>
  </si>
</sst>
</file>

<file path=xl/styles.xml><?xml version="1.0" encoding="utf-8"?>
<styleSheet xmlns="http://schemas.openxmlformats.org/spreadsheetml/2006/main">
  <numFmts count="6">
    <numFmt numFmtId="164" formatCode="General"/>
    <numFmt numFmtId="165" formatCode="#,##0;\-#,##0;\-"/>
    <numFmt numFmtId="166" formatCode="0"/>
    <numFmt numFmtId="167" formatCode="0%"/>
    <numFmt numFmtId="168" formatCode="0.0%"/>
    <numFmt numFmtId="169" formatCode="@"/>
  </numFmts>
  <fonts count="13">
    <font>
      <sz val="11"/>
      <color theme="1"/>
      <name val="Calibri"/>
      <family val="2"/>
      <charset val="1"/>
    </font>
    <font>
      <sz val="10"/>
      <name val="Arial"/>
      <family val="0"/>
    </font>
    <font>
      <sz val="10"/>
      <name val="Arial"/>
      <family val="0"/>
    </font>
    <font>
      <sz val="10"/>
      <name val="Arial"/>
      <family val="0"/>
    </font>
    <font>
      <b val="true"/>
      <sz val="15"/>
      <color rgb="FF17342C"/>
      <name val="Arial"/>
      <family val="0"/>
      <charset val="1"/>
    </font>
    <font>
      <i val="true"/>
      <sz val="9"/>
      <color rgb="FF56655F"/>
      <name val="Arial"/>
      <family val="0"/>
      <charset val="1"/>
    </font>
    <font>
      <sz val="10"/>
      <color rgb="FF18241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name val="Arial"/>
      <family val="0"/>
      <charset val="1"/>
    </font>
    <font>
      <sz val="10"/>
      <name val="Arial"/>
      <family val="0"/>
      <charset val="1"/>
    </font>
  </fonts>
  <fills count="6">
    <fill>
      <patternFill patternType="none"/>
    </fill>
    <fill>
      <patternFill patternType="gray125"/>
    </fill>
    <fill>
      <patternFill patternType="solid">
        <fgColor rgb="FF17342C"/>
        <bgColor rgb="FF18241F"/>
      </patternFill>
    </fill>
    <fill>
      <patternFill patternType="solid">
        <fgColor rgb="FFEAEEE8"/>
        <bgColor rgb="FFE5F4E4"/>
      </patternFill>
    </fill>
    <fill>
      <patternFill patternType="solid">
        <fgColor rgb="FFFFF6DC"/>
        <bgColor rgb="FFFBEBEB"/>
      </patternFill>
    </fill>
    <fill>
      <patternFill patternType="solid">
        <fgColor rgb="FFF6E7D2"/>
        <bgColor rgb="FFFBEBEB"/>
      </patternFill>
    </fill>
  </fills>
  <borders count="2">
    <border diagonalUp="false" diagonalDown="false">
      <left/>
      <right/>
      <top/>
      <bottom/>
      <diagonal/>
    </border>
    <border diagonalUp="false" diagonalDown="false">
      <left style="thin">
        <color rgb="FFB7C2BC"/>
      </left>
      <right style="thin">
        <color rgb="FFB7C2BC"/>
      </right>
      <top style="thin">
        <color rgb="FFB7C2BC"/>
      </top>
      <bottom style="thin">
        <color rgb="FFB7C2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9C0006"/>
      </font>
      <fill>
        <patternFill>
          <bgColor rgb="FFFBEBEB"/>
        </patternFill>
      </fill>
    </dxf>
    <dxf>
      <fill>
        <patternFill>
          <bgColor rgb="FFFBEBEB"/>
        </patternFill>
      </fill>
    </dxf>
    <dxf>
      <fill>
        <patternFill>
          <bgColor rgb="FFE5F4E4"/>
        </patternFill>
      </fill>
    </dxf>
    <dxf>
      <font>
        <name val="Arial"/>
        <charset val="1"/>
        <family val="0"/>
        <b val="1"/>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2BC"/>
      <rgbColor rgb="FF808080"/>
      <rgbColor rgb="FF9999FF"/>
      <rgbColor rgb="FF993366"/>
      <rgbColor rgb="FFFFF6DC"/>
      <rgbColor rgb="FFEAEE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BEB"/>
      <rgbColor rgb="FFE5F4E4"/>
      <rgbColor rgb="FFF6E7D2"/>
      <rgbColor rgb="FF99CCFF"/>
      <rgbColor rgb="FFFF99CC"/>
      <rgbColor rgb="FFCC99FF"/>
      <rgbColor rgb="FFFFCC99"/>
      <rgbColor rgb="FF3366FF"/>
      <rgbColor rgb="FF33CCCC"/>
      <rgbColor rgb="FF99CC00"/>
      <rgbColor rgb="FFFFCC00"/>
      <rgbColor rgb="FFFF9900"/>
      <rgbColor rgb="FFFF6600"/>
      <rgbColor rgb="FF56655F"/>
      <rgbColor rgb="FF969696"/>
      <rgbColor rgb="FF003366"/>
      <rgbColor rgb="FF339966"/>
      <rgbColor rgb="FF18241F"/>
      <rgbColor rgb="FF333300"/>
      <rgbColor rgb="FF993300"/>
      <rgbColor rgb="FF993366"/>
      <rgbColor rgb="FF333399"/>
      <rgbColor rgb="FF1734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18.5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row>
    <row r="6" customFormat="false" ht="30" hidden="false" customHeight="true" outlineLevel="0" collapsed="false">
      <c r="A6" s="4" t="s">
        <v>3</v>
      </c>
      <c r="B6" s="4" t="s">
        <v>4</v>
      </c>
    </row>
    <row r="7" customFormat="false" ht="31.5" hidden="false" customHeight="true" outlineLevel="0" collapsed="false">
      <c r="A7" s="5" t="s">
        <v>5</v>
      </c>
      <c r="B7" s="6" t="s">
        <v>6</v>
      </c>
    </row>
    <row r="8" customFormat="false" ht="31.5" hidden="false" customHeight="true" outlineLevel="0" collapsed="false">
      <c r="A8" s="5" t="s">
        <v>7</v>
      </c>
      <c r="B8" s="6" t="s">
        <v>8</v>
      </c>
    </row>
    <row r="9" customFormat="false" ht="31.5" hidden="false" customHeight="true" outlineLevel="0" collapsed="false">
      <c r="A9" s="5" t="s">
        <v>9</v>
      </c>
      <c r="B9" s="6" t="s">
        <v>10</v>
      </c>
    </row>
    <row r="10" customFormat="false" ht="31.5" hidden="false" customHeight="true" outlineLevel="0" collapsed="false">
      <c r="A10" s="5" t="s">
        <v>11</v>
      </c>
      <c r="B10" s="6" t="s">
        <v>12</v>
      </c>
    </row>
    <row r="11" customFormat="false" ht="31.5" hidden="false" customHeight="true" outlineLevel="0" collapsed="false">
      <c r="A11" s="5" t="s">
        <v>13</v>
      </c>
      <c r="B11" s="6" t="s">
        <v>14</v>
      </c>
    </row>
    <row r="12" customFormat="false" ht="31.5" hidden="false" customHeight="true" outlineLevel="0" collapsed="false">
      <c r="A12" s="5" t="s">
        <v>15</v>
      </c>
      <c r="B12" s="6" t="s">
        <v>16</v>
      </c>
    </row>
    <row r="13" customFormat="false" ht="31.5" hidden="false" customHeight="true" outlineLevel="0" collapsed="false">
      <c r="A13" s="5" t="s">
        <v>17</v>
      </c>
      <c r="B13" s="6" t="s">
        <v>18</v>
      </c>
    </row>
    <row r="15" customFormat="false" ht="30" hidden="false" customHeight="true" outlineLevel="0" collapsed="false">
      <c r="A15" s="7" t="s">
        <v>19</v>
      </c>
      <c r="B15" s="7"/>
    </row>
  </sheetData>
  <mergeCells count="2">
    <mergeCell ref="A4:B4"/>
    <mergeCell ref="A15:B15"/>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3" min="2" style="0" width="11"/>
    <col collapsed="false" customWidth="true" hidden="false" outlineLevel="0" max="14" min="14" style="0" width="13"/>
  </cols>
  <sheetData>
    <row r="1" customFormat="false" ht="18.55" hidden="false" customHeight="false" outlineLevel="0" collapsed="false">
      <c r="A1" s="1" t="s">
        <v>20</v>
      </c>
    </row>
    <row r="2" customFormat="false" ht="15" hidden="false" customHeight="false" outlineLevel="0" collapsed="false">
      <c r="A2" s="2" t="s">
        <v>21</v>
      </c>
    </row>
    <row r="4" customFormat="false" ht="15" hidden="false" customHeight="false" outlineLevel="0" collapsed="false">
      <c r="A4" s="8" t="s">
        <v>22</v>
      </c>
      <c r="B4" s="9"/>
      <c r="C4" s="9"/>
      <c r="D4" s="9"/>
      <c r="E4" s="9"/>
      <c r="F4" s="9"/>
      <c r="G4" s="8" t="s">
        <v>23</v>
      </c>
      <c r="H4" s="9"/>
    </row>
    <row r="5" customFormat="false" ht="15" hidden="false" customHeight="true" outlineLevel="0" collapsed="false">
      <c r="A5" s="7" t="s">
        <v>24</v>
      </c>
      <c r="B5" s="7"/>
      <c r="C5" s="7"/>
      <c r="D5" s="7"/>
      <c r="E5" s="7"/>
      <c r="F5" s="7"/>
      <c r="G5" s="7"/>
      <c r="H5" s="7"/>
      <c r="I5" s="7"/>
      <c r="J5" s="7"/>
      <c r="K5" s="7"/>
      <c r="L5" s="7"/>
      <c r="M5" s="7"/>
      <c r="N5" s="7"/>
    </row>
    <row r="7" customFormat="false" ht="30" hidden="false" customHeight="true" outlineLevel="0" collapsed="false">
      <c r="A7" s="4" t="s">
        <v>25</v>
      </c>
      <c r="B7" s="4" t="s">
        <v>26</v>
      </c>
      <c r="C7" s="4" t="s">
        <v>27</v>
      </c>
      <c r="D7" s="4" t="s">
        <v>28</v>
      </c>
      <c r="E7" s="4" t="s">
        <v>29</v>
      </c>
      <c r="F7" s="4" t="s">
        <v>30</v>
      </c>
      <c r="G7" s="4" t="s">
        <v>31</v>
      </c>
      <c r="H7" s="4" t="s">
        <v>32</v>
      </c>
      <c r="I7" s="4" t="s">
        <v>33</v>
      </c>
      <c r="J7" s="4" t="s">
        <v>34</v>
      </c>
      <c r="K7" s="4" t="s">
        <v>35</v>
      </c>
      <c r="L7" s="4" t="s">
        <v>36</v>
      </c>
      <c r="M7" s="4" t="s">
        <v>37</v>
      </c>
      <c r="N7" s="4" t="s">
        <v>38</v>
      </c>
    </row>
    <row r="8" customFormat="false" ht="15" hidden="false" customHeight="false" outlineLevel="0" collapsed="false">
      <c r="A8" s="6" t="s">
        <v>39</v>
      </c>
      <c r="B8" s="10"/>
      <c r="C8" s="10"/>
      <c r="D8" s="10"/>
      <c r="E8" s="10"/>
      <c r="F8" s="10"/>
      <c r="G8" s="10"/>
      <c r="H8" s="10"/>
      <c r="I8" s="10"/>
      <c r="J8" s="10"/>
      <c r="K8" s="10"/>
      <c r="L8" s="10"/>
      <c r="M8" s="10"/>
      <c r="N8" s="11" t="n">
        <f aca="false">SUM(B8:M8)</f>
        <v>0</v>
      </c>
    </row>
    <row r="9" customFormat="false" ht="23.85" hidden="false" customHeight="false" outlineLevel="0" collapsed="false">
      <c r="A9" s="6" t="s">
        <v>40</v>
      </c>
      <c r="B9" s="10"/>
      <c r="C9" s="10"/>
      <c r="D9" s="10"/>
      <c r="E9" s="10"/>
      <c r="F9" s="10"/>
      <c r="G9" s="10"/>
      <c r="H9" s="10"/>
      <c r="I9" s="10"/>
      <c r="J9" s="10"/>
      <c r="K9" s="10"/>
      <c r="L9" s="10"/>
      <c r="M9" s="10"/>
      <c r="N9" s="11" t="n">
        <f aca="false">SUM(B9:M9)</f>
        <v>0</v>
      </c>
    </row>
    <row r="10" customFormat="false" ht="15" hidden="false" customHeight="false" outlineLevel="0" collapsed="false">
      <c r="A10" s="12" t="s">
        <v>41</v>
      </c>
      <c r="B10" s="11" t="str">
        <f aca="false">IF(AND(B8="",B9=""),"",N(B8)-N(B9))</f>
        <v/>
      </c>
      <c r="C10" s="11" t="str">
        <f aca="false">IF(AND(C8="",C9=""),"",N(C8)-N(C9))</f>
        <v/>
      </c>
      <c r="D10" s="11" t="str">
        <f aca="false">IF(AND(D8="",D9=""),"",N(D8)-N(D9))</f>
        <v/>
      </c>
      <c r="E10" s="11" t="str">
        <f aca="false">IF(AND(E8="",E9=""),"",N(E8)-N(E9))</f>
        <v/>
      </c>
      <c r="F10" s="11" t="str">
        <f aca="false">IF(AND(F8="",F9=""),"",N(F8)-N(F9))</f>
        <v/>
      </c>
      <c r="G10" s="11" t="str">
        <f aca="false">IF(AND(G8="",G9=""),"",N(G8)-N(G9))</f>
        <v/>
      </c>
      <c r="H10" s="11" t="str">
        <f aca="false">IF(AND(H8="",H9=""),"",N(H8)-N(H9))</f>
        <v/>
      </c>
      <c r="I10" s="11" t="str">
        <f aca="false">IF(AND(I8="",I9=""),"",N(I8)-N(I9))</f>
        <v/>
      </c>
      <c r="J10" s="11" t="str">
        <f aca="false">IF(AND(J8="",J9=""),"",N(J8)-N(J9))</f>
        <v/>
      </c>
      <c r="K10" s="11" t="str">
        <f aca="false">IF(AND(K8="",K9=""),"",N(K8)-N(K9))</f>
        <v/>
      </c>
      <c r="L10" s="11" t="str">
        <f aca="false">IF(AND(L8="",L9=""),"",N(L8)-N(L9))</f>
        <v/>
      </c>
      <c r="M10" s="11" t="str">
        <f aca="false">IF(AND(M8="",M9=""),"",N(M8)-N(M9))</f>
        <v/>
      </c>
      <c r="N10" s="11" t="n">
        <f aca="false">SUM(B10:M10)</f>
        <v>0</v>
      </c>
    </row>
    <row r="11" customFormat="false" ht="15" hidden="false" customHeight="false" outlineLevel="0" collapsed="false">
      <c r="A11" s="6" t="s">
        <v>42</v>
      </c>
      <c r="B11" s="10"/>
      <c r="C11" s="10"/>
      <c r="D11" s="10"/>
      <c r="E11" s="10"/>
      <c r="F11" s="10"/>
      <c r="G11" s="10"/>
      <c r="H11" s="10"/>
      <c r="I11" s="10"/>
      <c r="J11" s="10"/>
      <c r="K11" s="10"/>
      <c r="L11" s="10"/>
      <c r="M11" s="10"/>
      <c r="N11" s="11" t="n">
        <f aca="false">SUM(B11:M11)</f>
        <v>0</v>
      </c>
    </row>
    <row r="12" customFormat="false" ht="15" hidden="false" customHeight="false" outlineLevel="0" collapsed="false">
      <c r="A12" s="6" t="s">
        <v>43</v>
      </c>
      <c r="B12" s="10"/>
      <c r="C12" s="10"/>
      <c r="D12" s="10"/>
      <c r="E12" s="10"/>
      <c r="F12" s="10"/>
      <c r="G12" s="10"/>
      <c r="H12" s="10"/>
      <c r="I12" s="10"/>
      <c r="J12" s="10"/>
      <c r="K12" s="10"/>
      <c r="L12" s="10"/>
      <c r="M12" s="10"/>
      <c r="N12" s="11" t="n">
        <f aca="false">SUM(B12:M12)</f>
        <v>0</v>
      </c>
    </row>
    <row r="13" customFormat="false" ht="15" hidden="false" customHeight="false" outlineLevel="0" collapsed="false">
      <c r="A13" s="6" t="s">
        <v>44</v>
      </c>
      <c r="B13" s="10"/>
      <c r="C13" s="10"/>
      <c r="D13" s="10"/>
      <c r="E13" s="10"/>
      <c r="F13" s="10"/>
      <c r="G13" s="10"/>
      <c r="H13" s="10"/>
      <c r="I13" s="10"/>
      <c r="J13" s="10"/>
      <c r="K13" s="10"/>
      <c r="L13" s="10"/>
      <c r="M13" s="10"/>
      <c r="N13" s="11" t="n">
        <f aca="false">SUM(B13:M13)</f>
        <v>0</v>
      </c>
    </row>
    <row r="14" customFormat="false" ht="15" hidden="false" customHeight="false" outlineLevel="0" collapsed="false">
      <c r="A14" s="6" t="s">
        <v>45</v>
      </c>
      <c r="B14" s="10"/>
      <c r="C14" s="10"/>
      <c r="D14" s="10"/>
      <c r="E14" s="10"/>
      <c r="F14" s="10"/>
      <c r="G14" s="10"/>
      <c r="H14" s="10"/>
      <c r="I14" s="10"/>
      <c r="J14" s="10"/>
      <c r="K14" s="10"/>
      <c r="L14" s="10"/>
      <c r="M14" s="10"/>
      <c r="N14" s="11" t="n">
        <f aca="false">SUM(B14:M14)</f>
        <v>0</v>
      </c>
    </row>
    <row r="15" customFormat="false" ht="15" hidden="false" customHeight="false" outlineLevel="0" collapsed="false">
      <c r="A15" s="6" t="s">
        <v>46</v>
      </c>
      <c r="B15" s="10"/>
      <c r="C15" s="10"/>
      <c r="D15" s="10"/>
      <c r="E15" s="10"/>
      <c r="F15" s="10"/>
      <c r="G15" s="10"/>
      <c r="H15" s="10"/>
      <c r="I15" s="10"/>
      <c r="J15" s="10"/>
      <c r="K15" s="10"/>
      <c r="L15" s="10"/>
      <c r="M15" s="10"/>
      <c r="N15" s="11" t="n">
        <f aca="false">SUM(B15:M15)</f>
        <v>0</v>
      </c>
    </row>
    <row r="16" customFormat="false" ht="15" hidden="false" customHeight="false" outlineLevel="0" collapsed="false">
      <c r="A16" s="6" t="s">
        <v>47</v>
      </c>
      <c r="B16" s="10"/>
      <c r="C16" s="10"/>
      <c r="D16" s="10"/>
      <c r="E16" s="10"/>
      <c r="F16" s="10"/>
      <c r="G16" s="10"/>
      <c r="H16" s="10"/>
      <c r="I16" s="10"/>
      <c r="J16" s="10"/>
      <c r="K16" s="10"/>
      <c r="L16" s="10"/>
      <c r="M16" s="10"/>
      <c r="N16" s="11" t="n">
        <f aca="false">SUM(B16:M16)</f>
        <v>0</v>
      </c>
    </row>
    <row r="17" customFormat="false" ht="15" hidden="false" customHeight="false" outlineLevel="0" collapsed="false">
      <c r="A17" s="6" t="s">
        <v>48</v>
      </c>
      <c r="B17" s="10"/>
      <c r="C17" s="10"/>
      <c r="D17" s="10"/>
      <c r="E17" s="10"/>
      <c r="F17" s="10"/>
      <c r="G17" s="10"/>
      <c r="H17" s="10"/>
      <c r="I17" s="10"/>
      <c r="J17" s="10"/>
      <c r="K17" s="10"/>
      <c r="L17" s="10"/>
      <c r="M17" s="10"/>
      <c r="N17" s="11" t="n">
        <f aca="false">SUM(B17:M17)</f>
        <v>0</v>
      </c>
    </row>
    <row r="18" customFormat="false" ht="15" hidden="false" customHeight="false" outlineLevel="0" collapsed="false">
      <c r="A18" s="12" t="s">
        <v>49</v>
      </c>
      <c r="B18" s="11" t="str">
        <f aca="false">IF(COUNT(B11:B17)=0,"",SUM(B11:B17))</f>
        <v/>
      </c>
      <c r="C18" s="11" t="str">
        <f aca="false">IF(COUNT(C11:C17)=0,"",SUM(C11:C17))</f>
        <v/>
      </c>
      <c r="D18" s="11" t="str">
        <f aca="false">IF(COUNT(D11:D17)=0,"",SUM(D11:D17))</f>
        <v/>
      </c>
      <c r="E18" s="11" t="str">
        <f aca="false">IF(COUNT(E11:E17)=0,"",SUM(E11:E17))</f>
        <v/>
      </c>
      <c r="F18" s="11" t="str">
        <f aca="false">IF(COUNT(F11:F17)=0,"",SUM(F11:F17))</f>
        <v/>
      </c>
      <c r="G18" s="11" t="str">
        <f aca="false">IF(COUNT(G11:G17)=0,"",SUM(G11:G17))</f>
        <v/>
      </c>
      <c r="H18" s="11" t="str">
        <f aca="false">IF(COUNT(H11:H17)=0,"",SUM(H11:H17))</f>
        <v/>
      </c>
      <c r="I18" s="11" t="str">
        <f aca="false">IF(COUNT(I11:I17)=0,"",SUM(I11:I17))</f>
        <v/>
      </c>
      <c r="J18" s="11" t="str">
        <f aca="false">IF(COUNT(J11:J17)=0,"",SUM(J11:J17))</f>
        <v/>
      </c>
      <c r="K18" s="11" t="str">
        <f aca="false">IF(COUNT(K11:K17)=0,"",SUM(K11:K17))</f>
        <v/>
      </c>
      <c r="L18" s="11" t="str">
        <f aca="false">IF(COUNT(L11:L17)=0,"",SUM(L11:L17))</f>
        <v/>
      </c>
      <c r="M18" s="11" t="str">
        <f aca="false">IF(COUNT(M11:M17)=0,"",SUM(M11:M17))</f>
        <v/>
      </c>
      <c r="N18" s="11" t="n">
        <f aca="false">SUM(B18:M18)</f>
        <v>0</v>
      </c>
    </row>
    <row r="19" customFormat="false" ht="15" hidden="false" customHeight="false" outlineLevel="0" collapsed="false">
      <c r="A19" s="12" t="s">
        <v>50</v>
      </c>
      <c r="B19" s="11" t="str">
        <f aca="false">IF(B10="","",B10-N(B18))</f>
        <v/>
      </c>
      <c r="C19" s="11" t="str">
        <f aca="false">IF(C10="","",C10-N(C18))</f>
        <v/>
      </c>
      <c r="D19" s="11" t="str">
        <f aca="false">IF(D10="","",D10-N(D18))</f>
        <v/>
      </c>
      <c r="E19" s="11" t="str">
        <f aca="false">IF(E10="","",E10-N(E18))</f>
        <v/>
      </c>
      <c r="F19" s="11" t="str">
        <f aca="false">IF(F10="","",F10-N(F18))</f>
        <v/>
      </c>
      <c r="G19" s="11" t="str">
        <f aca="false">IF(G10="","",G10-N(G18))</f>
        <v/>
      </c>
      <c r="H19" s="11" t="str">
        <f aca="false">IF(H10="","",H10-N(H18))</f>
        <v/>
      </c>
      <c r="I19" s="11" t="str">
        <f aca="false">IF(I10="","",I10-N(I18))</f>
        <v/>
      </c>
      <c r="J19" s="11" t="str">
        <f aca="false">IF(J10="","",J10-N(J18))</f>
        <v/>
      </c>
      <c r="K19" s="11" t="str">
        <f aca="false">IF(K10="","",K10-N(K18))</f>
        <v/>
      </c>
      <c r="L19" s="11" t="str">
        <f aca="false">IF(L10="","",L10-N(L18))</f>
        <v/>
      </c>
      <c r="M19" s="11" t="str">
        <f aca="false">IF(M10="","",M10-N(M18))</f>
        <v/>
      </c>
      <c r="N19" s="11" t="n">
        <f aca="false">SUM(B19:M19)</f>
        <v>0</v>
      </c>
    </row>
    <row r="21" customFormat="false" ht="27.75" hidden="false" customHeight="true" outlineLevel="0" collapsed="false">
      <c r="A21" s="7" t="s">
        <v>51</v>
      </c>
      <c r="B21" s="7"/>
      <c r="C21" s="7"/>
      <c r="D21" s="7"/>
      <c r="E21" s="7"/>
      <c r="F21" s="7"/>
      <c r="G21" s="7"/>
      <c r="H21" s="7"/>
      <c r="I21" s="7"/>
      <c r="J21" s="7"/>
      <c r="K21" s="7"/>
      <c r="L21" s="7"/>
      <c r="M21" s="7"/>
      <c r="N21" s="7"/>
    </row>
  </sheetData>
  <mergeCells count="3">
    <mergeCell ref="B4:F4"/>
    <mergeCell ref="A5:N5"/>
    <mergeCell ref="A21:N21"/>
  </mergeCells>
  <conditionalFormatting sqref="B19:N19">
    <cfRule type="cellIs" priority="2" operator="lessThan" aboveAverage="0" equalAverage="0" bottom="0" percent="0" rank="0" text="" dxfId="0">
      <formula>0</formula>
    </cfRule>
  </conditionalFormatting>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4"/>
    <col collapsed="false" customWidth="true" hidden="false" outlineLevel="0" max="8" min="8" style="0" width="15"/>
  </cols>
  <sheetData>
    <row r="1" customFormat="false" ht="18.55" hidden="false" customHeight="false" outlineLevel="0" collapsed="false">
      <c r="A1" s="1" t="s">
        <v>52</v>
      </c>
    </row>
    <row r="2" customFormat="false" ht="15" hidden="false" customHeight="false" outlineLevel="0" collapsed="false">
      <c r="A2" s="2" t="s">
        <v>53</v>
      </c>
    </row>
    <row r="4" customFormat="false" ht="27.75" hidden="false" customHeight="true" outlineLevel="0" collapsed="false">
      <c r="A4" s="8" t="s">
        <v>22</v>
      </c>
      <c r="B4" s="9"/>
      <c r="C4" s="9"/>
      <c r="D4" s="9"/>
      <c r="E4" s="13" t="s">
        <v>54</v>
      </c>
      <c r="F4" s="13"/>
      <c r="G4" s="10"/>
    </row>
    <row r="5" customFormat="false" ht="15" hidden="false" customHeight="true" outlineLevel="0" collapsed="false">
      <c r="A5" s="7" t="s">
        <v>24</v>
      </c>
      <c r="B5" s="7"/>
      <c r="C5" s="7"/>
      <c r="D5" s="7"/>
      <c r="E5" s="7"/>
      <c r="F5" s="7"/>
      <c r="G5" s="7"/>
      <c r="H5" s="7"/>
    </row>
    <row r="7" customFormat="false" ht="30" hidden="false" customHeight="true" outlineLevel="0" collapsed="false">
      <c r="A7" s="4" t="s">
        <v>55</v>
      </c>
      <c r="B7" s="14"/>
      <c r="C7" s="14"/>
      <c r="D7" s="14"/>
      <c r="E7" s="14"/>
      <c r="F7" s="14"/>
      <c r="G7" s="14"/>
      <c r="H7" s="4" t="s">
        <v>38</v>
      </c>
    </row>
    <row r="8" customFormat="false" ht="15" hidden="false" customHeight="false" outlineLevel="0" collapsed="false">
      <c r="A8" s="15" t="s">
        <v>56</v>
      </c>
      <c r="B8" s="16" t="n">
        <f aca="false">N($G$4)</f>
        <v>0</v>
      </c>
      <c r="C8" s="16" t="n">
        <f aca="false">B24</f>
        <v>0</v>
      </c>
      <c r="D8" s="16" t="n">
        <f aca="false">C24</f>
        <v>0</v>
      </c>
      <c r="E8" s="16" t="n">
        <f aca="false">D24</f>
        <v>0</v>
      </c>
      <c r="F8" s="16" t="n">
        <f aca="false">E24</f>
        <v>0</v>
      </c>
      <c r="G8" s="16" t="n">
        <f aca="false">F24</f>
        <v>0</v>
      </c>
      <c r="H8" s="17"/>
    </row>
    <row r="9" customFormat="false" ht="15" hidden="false" customHeight="false" outlineLevel="0" collapsed="false">
      <c r="A9" s="8" t="s">
        <v>57</v>
      </c>
      <c r="B9" s="18"/>
      <c r="C9" s="18"/>
      <c r="D9" s="18"/>
      <c r="E9" s="18"/>
      <c r="F9" s="18"/>
      <c r="G9" s="18"/>
      <c r="H9" s="18"/>
    </row>
    <row r="10" customFormat="false" ht="15" hidden="false" customHeight="false" outlineLevel="0" collapsed="false">
      <c r="A10" s="6" t="s">
        <v>58</v>
      </c>
      <c r="B10" s="10"/>
      <c r="C10" s="10"/>
      <c r="D10" s="10"/>
      <c r="E10" s="10"/>
      <c r="F10" s="10"/>
      <c r="G10" s="10"/>
      <c r="H10" s="16" t="n">
        <f aca="false">SUM(B10:G10)</f>
        <v>0</v>
      </c>
    </row>
    <row r="11" customFormat="false" ht="23.85" hidden="false" customHeight="false" outlineLevel="0" collapsed="false">
      <c r="A11" s="6" t="s">
        <v>59</v>
      </c>
      <c r="B11" s="10"/>
      <c r="C11" s="10"/>
      <c r="D11" s="10"/>
      <c r="E11" s="10"/>
      <c r="F11" s="10"/>
      <c r="G11" s="10"/>
      <c r="H11" s="16" t="n">
        <f aca="false">SUM(B11:G11)</f>
        <v>0</v>
      </c>
    </row>
    <row r="12" customFormat="false" ht="15" hidden="false" customHeight="false" outlineLevel="0" collapsed="false">
      <c r="A12" s="6" t="s">
        <v>60</v>
      </c>
      <c r="B12" s="10"/>
      <c r="C12" s="10"/>
      <c r="D12" s="10"/>
      <c r="E12" s="10"/>
      <c r="F12" s="10"/>
      <c r="G12" s="10"/>
      <c r="H12" s="16" t="n">
        <f aca="false">SUM(B12:G12)</f>
        <v>0</v>
      </c>
    </row>
    <row r="13" customFormat="false" ht="18" hidden="false" customHeight="true" outlineLevel="0" collapsed="false">
      <c r="A13" s="12" t="s">
        <v>61</v>
      </c>
      <c r="B13" s="11" t="n">
        <f aca="false">SUM(B10:B12)</f>
        <v>0</v>
      </c>
      <c r="C13" s="11" t="n">
        <f aca="false">SUM(C10:C12)</f>
        <v>0</v>
      </c>
      <c r="D13" s="11" t="n">
        <f aca="false">SUM(D10:D12)</f>
        <v>0</v>
      </c>
      <c r="E13" s="11" t="n">
        <f aca="false">SUM(E10:E12)</f>
        <v>0</v>
      </c>
      <c r="F13" s="11" t="n">
        <f aca="false">SUM(F10:F12)</f>
        <v>0</v>
      </c>
      <c r="G13" s="11" t="n">
        <f aca="false">SUM(G10:G12)</f>
        <v>0</v>
      </c>
      <c r="H13" s="11" t="n">
        <f aca="false">SUM(B13:G13)</f>
        <v>0</v>
      </c>
    </row>
    <row r="14" customFormat="false" ht="15" hidden="false" customHeight="false" outlineLevel="0" collapsed="false">
      <c r="A14" s="8" t="s">
        <v>62</v>
      </c>
      <c r="B14" s="18"/>
      <c r="C14" s="18"/>
      <c r="D14" s="18"/>
      <c r="E14" s="18"/>
      <c r="F14" s="18"/>
      <c r="G14" s="18"/>
      <c r="H14" s="18"/>
    </row>
    <row r="15" customFormat="false" ht="15" hidden="false" customHeight="false" outlineLevel="0" collapsed="false">
      <c r="A15" s="6" t="s">
        <v>63</v>
      </c>
      <c r="B15" s="10"/>
      <c r="C15" s="10"/>
      <c r="D15" s="10"/>
      <c r="E15" s="10"/>
      <c r="F15" s="10"/>
      <c r="G15" s="10"/>
      <c r="H15" s="16" t="n">
        <f aca="false">SUM(B15:G15)</f>
        <v>0</v>
      </c>
    </row>
    <row r="16" customFormat="false" ht="15" hidden="false" customHeight="false" outlineLevel="0" collapsed="false">
      <c r="A16" s="6" t="s">
        <v>42</v>
      </c>
      <c r="B16" s="10"/>
      <c r="C16" s="10"/>
      <c r="D16" s="10"/>
      <c r="E16" s="10"/>
      <c r="F16" s="10"/>
      <c r="G16" s="10"/>
      <c r="H16" s="16" t="n">
        <f aca="false">SUM(B16:G16)</f>
        <v>0</v>
      </c>
    </row>
    <row r="17" customFormat="false" ht="15" hidden="false" customHeight="false" outlineLevel="0" collapsed="false">
      <c r="A17" s="6" t="s">
        <v>43</v>
      </c>
      <c r="B17" s="10"/>
      <c r="C17" s="10"/>
      <c r="D17" s="10"/>
      <c r="E17" s="10"/>
      <c r="F17" s="10"/>
      <c r="G17" s="10"/>
      <c r="H17" s="16" t="n">
        <f aca="false">SUM(B17:G17)</f>
        <v>0</v>
      </c>
    </row>
    <row r="18" customFormat="false" ht="15" hidden="false" customHeight="false" outlineLevel="0" collapsed="false">
      <c r="A18" s="6" t="s">
        <v>64</v>
      </c>
      <c r="B18" s="10"/>
      <c r="C18" s="10"/>
      <c r="D18" s="10"/>
      <c r="E18" s="10"/>
      <c r="F18" s="10"/>
      <c r="G18" s="10"/>
      <c r="H18" s="16" t="n">
        <f aca="false">SUM(B18:G18)</f>
        <v>0</v>
      </c>
    </row>
    <row r="19" customFormat="false" ht="15" hidden="false" customHeight="false" outlineLevel="0" collapsed="false">
      <c r="A19" s="6" t="s">
        <v>46</v>
      </c>
      <c r="B19" s="10"/>
      <c r="C19" s="10"/>
      <c r="D19" s="10"/>
      <c r="E19" s="10"/>
      <c r="F19" s="10"/>
      <c r="G19" s="10"/>
      <c r="H19" s="16" t="n">
        <f aca="false">SUM(B19:G19)</f>
        <v>0</v>
      </c>
    </row>
    <row r="20" customFormat="false" ht="23.85" hidden="false" customHeight="false" outlineLevel="0" collapsed="false">
      <c r="A20" s="6" t="s">
        <v>65</v>
      </c>
      <c r="B20" s="10"/>
      <c r="C20" s="10"/>
      <c r="D20" s="10"/>
      <c r="E20" s="10"/>
      <c r="F20" s="10"/>
      <c r="G20" s="10"/>
      <c r="H20" s="16" t="n">
        <f aca="false">SUM(B20:G20)</f>
        <v>0</v>
      </c>
    </row>
    <row r="21" customFormat="false" ht="15" hidden="false" customHeight="false" outlineLevel="0" collapsed="false">
      <c r="A21" s="6" t="s">
        <v>48</v>
      </c>
      <c r="B21" s="10"/>
      <c r="C21" s="10"/>
      <c r="D21" s="10"/>
      <c r="E21" s="10"/>
      <c r="F21" s="10"/>
      <c r="G21" s="10"/>
      <c r="H21" s="16" t="n">
        <f aca="false">SUM(B21:G21)</f>
        <v>0</v>
      </c>
    </row>
    <row r="22" customFormat="false" ht="15" hidden="false" customHeight="false" outlineLevel="0" collapsed="false">
      <c r="A22" s="6" t="s">
        <v>66</v>
      </c>
      <c r="B22" s="10"/>
      <c r="C22" s="10"/>
      <c r="D22" s="10"/>
      <c r="E22" s="10"/>
      <c r="F22" s="10"/>
      <c r="G22" s="10"/>
      <c r="H22" s="16" t="n">
        <f aca="false">SUM(B22:G22)</f>
        <v>0</v>
      </c>
    </row>
    <row r="23" customFormat="false" ht="15" hidden="false" customHeight="false" outlineLevel="0" collapsed="false">
      <c r="A23" s="12" t="s">
        <v>67</v>
      </c>
      <c r="B23" s="11" t="n">
        <f aca="false">SUM(B15:B22)</f>
        <v>0</v>
      </c>
      <c r="C23" s="11" t="n">
        <f aca="false">SUM(C15:C22)</f>
        <v>0</v>
      </c>
      <c r="D23" s="11" t="n">
        <f aca="false">SUM(D15:D22)</f>
        <v>0</v>
      </c>
      <c r="E23" s="11" t="n">
        <f aca="false">SUM(E15:E22)</f>
        <v>0</v>
      </c>
      <c r="F23" s="11" t="n">
        <f aca="false">SUM(F15:F22)</f>
        <v>0</v>
      </c>
      <c r="G23" s="11" t="n">
        <f aca="false">SUM(G15:G22)</f>
        <v>0</v>
      </c>
      <c r="H23" s="11" t="n">
        <f aca="false">SUM(B23:G23)</f>
        <v>0</v>
      </c>
    </row>
    <row r="24" customFormat="false" ht="15" hidden="false" customHeight="false" outlineLevel="0" collapsed="false">
      <c r="A24" s="12" t="s">
        <v>68</v>
      </c>
      <c r="B24" s="11" t="n">
        <f aca="false">B8+B13-B23</f>
        <v>0</v>
      </c>
      <c r="C24" s="11" t="n">
        <f aca="false">C8+C13-C23</f>
        <v>0</v>
      </c>
      <c r="D24" s="11" t="n">
        <f aca="false">D8+D13-D23</f>
        <v>0</v>
      </c>
      <c r="E24" s="11" t="n">
        <f aca="false">E8+E13-E23</f>
        <v>0</v>
      </c>
      <c r="F24" s="11" t="n">
        <f aca="false">F8+F13-F23</f>
        <v>0</v>
      </c>
      <c r="G24" s="11" t="n">
        <f aca="false">G8+G13-G23</f>
        <v>0</v>
      </c>
      <c r="H24" s="11" t="n">
        <f aca="false">G24</f>
        <v>0</v>
      </c>
    </row>
    <row r="26" customFormat="false" ht="23.85" hidden="false" customHeight="false" outlineLevel="0" collapsed="false">
      <c r="A26" s="15" t="s">
        <v>69</v>
      </c>
      <c r="B26" s="19" t="n">
        <f aca="false">H13-H23</f>
        <v>0</v>
      </c>
    </row>
    <row r="27" customFormat="false" ht="15" hidden="false" customHeight="false" outlineLevel="0" collapsed="false">
      <c r="A27" s="5" t="s">
        <v>70</v>
      </c>
      <c r="B27" s="19" t="n">
        <f aca="false">B26/6</f>
        <v>0</v>
      </c>
    </row>
    <row r="28" customFormat="false" ht="15" hidden="false" customHeight="false" outlineLevel="0" collapsed="false">
      <c r="A28" s="5" t="s">
        <v>71</v>
      </c>
      <c r="B28" s="20" t="n">
        <f aca="false">COUNTIF(B24:G24,"&lt;0")</f>
        <v>0</v>
      </c>
    </row>
    <row r="30" customFormat="false" ht="27.75" hidden="false" customHeight="true" outlineLevel="0" collapsed="false">
      <c r="A30" s="7" t="s">
        <v>72</v>
      </c>
      <c r="B30" s="7"/>
      <c r="C30" s="7"/>
      <c r="D30" s="7"/>
      <c r="E30" s="7"/>
      <c r="F30" s="7"/>
      <c r="G30" s="7"/>
      <c r="H30" s="7"/>
    </row>
  </sheetData>
  <mergeCells count="4">
    <mergeCell ref="B4:D4"/>
    <mergeCell ref="E4:F4"/>
    <mergeCell ref="A5:H5"/>
    <mergeCell ref="A30:H30"/>
  </mergeCells>
  <conditionalFormatting sqref="B24:H24">
    <cfRule type="cellIs" priority="2" operator="lessThan" aboveAverage="0" equalAverage="0" bottom="0" percent="0" rank="0" text="" dxfId="0">
      <formula>0</formula>
    </cfRule>
  </conditionalFormatting>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38"/>
    <col collapsed="false" customWidth="true" hidden="false" outlineLevel="0" max="4" min="4" style="0" width="22"/>
    <col collapsed="false" customWidth="true" hidden="false" outlineLevel="0" max="6" min="5" style="0" width="18"/>
  </cols>
  <sheetData>
    <row r="1" customFormat="false" ht="18.55" hidden="false" customHeight="false" outlineLevel="0" collapsed="false">
      <c r="A1" s="1" t="s">
        <v>73</v>
      </c>
    </row>
    <row r="2" customFormat="false" ht="15" hidden="false" customHeight="false" outlineLevel="0" collapsed="false">
      <c r="A2" s="2" t="s">
        <v>74</v>
      </c>
    </row>
    <row r="4" customFormat="false" ht="15" hidden="false" customHeight="false" outlineLevel="0" collapsed="false">
      <c r="A4" s="8" t="s">
        <v>22</v>
      </c>
      <c r="B4" s="9"/>
      <c r="C4" s="9"/>
      <c r="D4" s="8" t="s">
        <v>23</v>
      </c>
      <c r="E4" s="9"/>
    </row>
    <row r="5" customFormat="false" ht="15" hidden="false" customHeight="true" outlineLevel="0" collapsed="false">
      <c r="A5" s="7" t="s">
        <v>24</v>
      </c>
      <c r="B5" s="7"/>
      <c r="C5" s="7"/>
      <c r="D5" s="7"/>
      <c r="E5" s="7"/>
      <c r="F5" s="7"/>
    </row>
    <row r="7" customFormat="false" ht="30" hidden="false" customHeight="true" outlineLevel="0" collapsed="false">
      <c r="A7" s="4" t="s">
        <v>25</v>
      </c>
      <c r="B7" s="4" t="s">
        <v>75</v>
      </c>
      <c r="C7" s="4" t="s">
        <v>76</v>
      </c>
      <c r="D7" s="4" t="s">
        <v>77</v>
      </c>
      <c r="E7" s="4" t="s">
        <v>78</v>
      </c>
      <c r="F7" s="4" t="s">
        <v>79</v>
      </c>
    </row>
    <row r="8" customFormat="false" ht="25.5" hidden="false" customHeight="true" outlineLevel="0" collapsed="false">
      <c r="A8" s="5" t="s">
        <v>80</v>
      </c>
      <c r="B8" s="9"/>
      <c r="C8" s="9"/>
      <c r="D8" s="9"/>
      <c r="E8" s="10"/>
      <c r="F8" s="10"/>
    </row>
    <row r="9" customFormat="false" ht="25.5" hidden="false" customHeight="true" outlineLevel="0" collapsed="false">
      <c r="A9" s="5" t="s">
        <v>81</v>
      </c>
      <c r="B9" s="9"/>
      <c r="C9" s="9"/>
      <c r="D9" s="9"/>
      <c r="E9" s="10"/>
      <c r="F9" s="10"/>
    </row>
    <row r="10" customFormat="false" ht="25.5" hidden="false" customHeight="true" outlineLevel="0" collapsed="false">
      <c r="A10" s="5" t="s">
        <v>28</v>
      </c>
      <c r="B10" s="9"/>
      <c r="C10" s="9"/>
      <c r="D10" s="9"/>
      <c r="E10" s="10"/>
      <c r="F10" s="10"/>
    </row>
    <row r="11" customFormat="false" ht="25.5" hidden="false" customHeight="true" outlineLevel="0" collapsed="false">
      <c r="A11" s="5" t="s">
        <v>82</v>
      </c>
      <c r="B11" s="9"/>
      <c r="C11" s="9"/>
      <c r="D11" s="9"/>
      <c r="E11" s="10"/>
      <c r="F11" s="10"/>
    </row>
    <row r="12" customFormat="false" ht="25.5" hidden="false" customHeight="true" outlineLevel="0" collapsed="false">
      <c r="A12" s="5" t="s">
        <v>30</v>
      </c>
      <c r="B12" s="9"/>
      <c r="C12" s="9"/>
      <c r="D12" s="9"/>
      <c r="E12" s="10"/>
      <c r="F12" s="10"/>
    </row>
    <row r="13" customFormat="false" ht="25.5" hidden="false" customHeight="true" outlineLevel="0" collapsed="false">
      <c r="A13" s="5" t="s">
        <v>31</v>
      </c>
      <c r="B13" s="9"/>
      <c r="C13" s="9"/>
      <c r="D13" s="9"/>
      <c r="E13" s="10"/>
      <c r="F13" s="10"/>
    </row>
    <row r="14" customFormat="false" ht="25.5" hidden="false" customHeight="true" outlineLevel="0" collapsed="false">
      <c r="A14" s="5" t="s">
        <v>83</v>
      </c>
      <c r="B14" s="9"/>
      <c r="C14" s="9"/>
      <c r="D14" s="9"/>
      <c r="E14" s="10"/>
      <c r="F14" s="10"/>
    </row>
    <row r="15" customFormat="false" ht="25.5" hidden="false" customHeight="true" outlineLevel="0" collapsed="false">
      <c r="A15" s="5" t="s">
        <v>33</v>
      </c>
      <c r="B15" s="9"/>
      <c r="C15" s="9"/>
      <c r="D15" s="9"/>
      <c r="E15" s="10"/>
      <c r="F15" s="10"/>
    </row>
    <row r="16" customFormat="false" ht="25.5" hidden="false" customHeight="true" outlineLevel="0" collapsed="false">
      <c r="A16" s="5" t="s">
        <v>84</v>
      </c>
      <c r="B16" s="9"/>
      <c r="C16" s="9"/>
      <c r="D16" s="9"/>
      <c r="E16" s="10"/>
      <c r="F16" s="10"/>
    </row>
    <row r="17" customFormat="false" ht="25.5" hidden="false" customHeight="true" outlineLevel="0" collapsed="false">
      <c r="A17" s="5" t="s">
        <v>85</v>
      </c>
      <c r="B17" s="9"/>
      <c r="C17" s="9"/>
      <c r="D17" s="9"/>
      <c r="E17" s="10"/>
      <c r="F17" s="10"/>
    </row>
    <row r="18" customFormat="false" ht="25.5" hidden="false" customHeight="true" outlineLevel="0" collapsed="false">
      <c r="A18" s="5" t="s">
        <v>86</v>
      </c>
      <c r="B18" s="9"/>
      <c r="C18" s="9"/>
      <c r="D18" s="9"/>
      <c r="E18" s="10"/>
      <c r="F18" s="10"/>
    </row>
    <row r="19" customFormat="false" ht="25.5" hidden="false" customHeight="true" outlineLevel="0" collapsed="false">
      <c r="A19" s="5" t="s">
        <v>87</v>
      </c>
      <c r="B19" s="9"/>
      <c r="C19" s="9"/>
      <c r="D19" s="9"/>
      <c r="E19" s="10"/>
      <c r="F19" s="10"/>
    </row>
    <row r="20" customFormat="false" ht="15" hidden="false" customHeight="false" outlineLevel="0" collapsed="false">
      <c r="A20" s="21" t="s">
        <v>38</v>
      </c>
      <c r="B20" s="22"/>
      <c r="C20" s="22"/>
      <c r="D20" s="22"/>
      <c r="E20" s="11" t="n">
        <f aca="false">SUM(E8:E19)</f>
        <v>0</v>
      </c>
      <c r="F20" s="11" t="n">
        <f aca="false">SUM(F8:F19)</f>
        <v>0</v>
      </c>
    </row>
    <row r="22" customFormat="false" ht="30" hidden="false" customHeight="true" outlineLevel="0" collapsed="false">
      <c r="A22" s="7" t="s">
        <v>88</v>
      </c>
      <c r="B22" s="7"/>
      <c r="C22" s="7"/>
      <c r="D22" s="7"/>
      <c r="E22" s="7"/>
      <c r="F22" s="7"/>
    </row>
  </sheetData>
  <mergeCells count="3">
    <mergeCell ref="B4:C4"/>
    <mergeCell ref="A5:F5"/>
    <mergeCell ref="A22:F22"/>
  </mergeCells>
  <conditionalFormatting sqref="B8:B19">
    <cfRule type="expression" priority="2" aboveAverage="0" equalAverage="0" bottom="0" percent="0" rank="0" text="" dxfId="1">
      <formula>B8="Faible"</formula>
    </cfRule>
    <cfRule type="expression" priority="3" aboveAverage="0" equalAverage="0" bottom="0" percent="0" rank="0" text="" dxfId="2">
      <formula>B8="Fort"</formula>
    </cfRule>
  </conditionalFormatting>
  <dataValidations count="1">
    <dataValidation allowBlank="true" errorStyle="stop" operator="between" showDropDown="false" showErrorMessage="false" showInputMessage="false" sqref="B8:B19" type="list">
      <formula1>"Fort,Moyen,Faible"</formula1>
      <formula2>0</formula2>
    </dataValidation>
  </dataValidations>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8"/>
  </cols>
  <sheetData>
    <row r="1" customFormat="false" ht="18.55" hidden="false" customHeight="false" outlineLevel="0" collapsed="false">
      <c r="A1" s="1" t="s">
        <v>89</v>
      </c>
    </row>
    <row r="2" customFormat="false" ht="15" hidden="false" customHeight="false" outlineLevel="0" collapsed="false">
      <c r="A2" s="2" t="s">
        <v>90</v>
      </c>
    </row>
    <row r="4" customFormat="false" ht="15" hidden="false" customHeight="true" outlineLevel="0" collapsed="false">
      <c r="A4" s="7" t="s">
        <v>24</v>
      </c>
      <c r="B4" s="7"/>
      <c r="C4" s="7"/>
      <c r="D4" s="7"/>
    </row>
    <row r="6" customFormat="false" ht="30" hidden="false" customHeight="true" outlineLevel="0" collapsed="false">
      <c r="A6" s="4" t="s">
        <v>91</v>
      </c>
      <c r="B6" s="4" t="s">
        <v>92</v>
      </c>
      <c r="C6" s="4"/>
      <c r="D6" s="4"/>
    </row>
    <row r="7" customFormat="false" ht="27.75" hidden="false" customHeight="true" outlineLevel="0" collapsed="false">
      <c r="A7" s="6" t="s">
        <v>93</v>
      </c>
      <c r="B7" s="10"/>
    </row>
    <row r="8" customFormat="false" ht="27.75" hidden="false" customHeight="true" outlineLevel="0" collapsed="false">
      <c r="A8" s="6" t="s">
        <v>94</v>
      </c>
      <c r="B8" s="10"/>
    </row>
    <row r="9" customFormat="false" ht="27.75" hidden="false" customHeight="true" outlineLevel="0" collapsed="false">
      <c r="A9" s="6" t="s">
        <v>95</v>
      </c>
      <c r="B9" s="10"/>
    </row>
    <row r="10" customFormat="false" ht="27.75" hidden="false" customHeight="true" outlineLevel="0" collapsed="false">
      <c r="A10" s="15" t="s">
        <v>96</v>
      </c>
      <c r="B10" s="16" t="str">
        <f aca="false">IF(B8="","",B8-N(B9))</f>
        <v/>
      </c>
    </row>
    <row r="11" customFormat="false" ht="27.75" hidden="false" customHeight="true" outlineLevel="0" collapsed="false">
      <c r="A11" s="15" t="s">
        <v>97</v>
      </c>
      <c r="B11" s="19" t="str">
        <f aca="false">IF(B7="","",B7+N(B10))</f>
        <v/>
      </c>
    </row>
    <row r="12" customFormat="false" ht="27.75" hidden="false" customHeight="true" outlineLevel="0" collapsed="false">
      <c r="A12" s="6" t="s">
        <v>98</v>
      </c>
      <c r="B12" s="23" t="n">
        <v>0.5</v>
      </c>
    </row>
    <row r="13" customFormat="false" ht="27.75" hidden="false" customHeight="true" outlineLevel="0" collapsed="false">
      <c r="A13" s="15" t="s">
        <v>99</v>
      </c>
      <c r="B13" s="19" t="str">
        <f aca="false">IF(OR(B11="",B12=""),"",B11*B12)</f>
        <v/>
      </c>
    </row>
    <row r="14" customFormat="false" ht="27.75" hidden="false" customHeight="true" outlineLevel="0" collapsed="false">
      <c r="A14" s="6" t="s">
        <v>100</v>
      </c>
      <c r="B14" s="10"/>
    </row>
    <row r="15" customFormat="false" ht="27.75" hidden="false" customHeight="true" outlineLevel="0" collapsed="false">
      <c r="A15" s="6" t="s">
        <v>101</v>
      </c>
      <c r="B15" s="24"/>
    </row>
    <row r="16" customFormat="false" ht="27.75" hidden="false" customHeight="true" outlineLevel="0" collapsed="false">
      <c r="A16" s="6" t="s">
        <v>102</v>
      </c>
      <c r="B16" s="10"/>
    </row>
    <row r="18" customFormat="false" ht="30" hidden="false" customHeight="true" outlineLevel="0" collapsed="false">
      <c r="A18" s="4" t="s">
        <v>103</v>
      </c>
      <c r="B18" s="4" t="s">
        <v>104</v>
      </c>
      <c r="C18" s="4" t="s">
        <v>105</v>
      </c>
      <c r="D18" s="4" t="s">
        <v>106</v>
      </c>
    </row>
    <row r="19" customFormat="false" ht="15" hidden="false" customHeight="false" outlineLevel="0" collapsed="false">
      <c r="A19" s="25" t="n">
        <v>6</v>
      </c>
      <c r="B19" s="16" t="str">
        <f aca="false">IF(OR($B$14="",$B$15="",A19=""),"",IF($B$15=0,$B$14/A19,PMT($B$15/12,A19,-$B$14)))</f>
        <v/>
      </c>
      <c r="C19" s="16" t="str">
        <f aca="false">IF(B19="","",B19*A19-$B$14+N($B$16))</f>
        <v/>
      </c>
      <c r="D19" s="26" t="str">
        <f aca="false">IF(OR(B19="",$B$13=""),"",IF(B19&lt;=$B$13,"Oui","Non : trop lourde"))</f>
        <v/>
      </c>
    </row>
    <row r="20" customFormat="false" ht="15" hidden="false" customHeight="false" outlineLevel="0" collapsed="false">
      <c r="A20" s="25" t="n">
        <v>12</v>
      </c>
      <c r="B20" s="16" t="str">
        <f aca="false">IF(OR($B$14="",$B$15="",A20=""),"",IF($B$15=0,$B$14/A20,PMT($B$15/12,A20,-$B$14)))</f>
        <v/>
      </c>
      <c r="C20" s="16" t="str">
        <f aca="false">IF(B20="","",B20*A20-$B$14+N($B$16))</f>
        <v/>
      </c>
      <c r="D20" s="26" t="str">
        <f aca="false">IF(OR(B20="",$B$13=""),"",IF(B20&lt;=$B$13,"Oui","Non : trop lourde"))</f>
        <v/>
      </c>
    </row>
    <row r="21" customFormat="false" ht="15" hidden="false" customHeight="false" outlineLevel="0" collapsed="false">
      <c r="A21" s="25" t="n">
        <v>18</v>
      </c>
      <c r="B21" s="16" t="str">
        <f aca="false">IF(OR($B$14="",$B$15="",A21=""),"",IF($B$15=0,$B$14/A21,PMT($B$15/12,A21,-$B$14)))</f>
        <v/>
      </c>
      <c r="C21" s="16" t="str">
        <f aca="false">IF(B21="","",B21*A21-$B$14+N($B$16))</f>
        <v/>
      </c>
      <c r="D21" s="26" t="str">
        <f aca="false">IF(OR(B21="",$B$13=""),"",IF(B21&lt;=$B$13,"Oui","Non : trop lourde"))</f>
        <v/>
      </c>
    </row>
    <row r="22" customFormat="false" ht="15" hidden="false" customHeight="false" outlineLevel="0" collapsed="false">
      <c r="A22" s="25" t="n">
        <v>24</v>
      </c>
      <c r="B22" s="16" t="str">
        <f aca="false">IF(OR($B$14="",$B$15="",A22=""),"",IF($B$15=0,$B$14/A22,PMT($B$15/12,A22,-$B$14)))</f>
        <v/>
      </c>
      <c r="C22" s="16" t="str">
        <f aca="false">IF(B22="","",B22*A22-$B$14+N($B$16))</f>
        <v/>
      </c>
      <c r="D22" s="26" t="str">
        <f aca="false">IF(OR(B22="",$B$13=""),"",IF(B22&lt;=$B$13,"Oui","Non : trop lourde"))</f>
        <v/>
      </c>
    </row>
    <row r="23" customFormat="false" ht="15" hidden="false" customHeight="false" outlineLevel="0" collapsed="false">
      <c r="A23" s="25" t="n">
        <v>36</v>
      </c>
      <c r="B23" s="16" t="str">
        <f aca="false">IF(OR($B$14="",$B$15="",A23=""),"",IF($B$15=0,$B$14/A23,PMT($B$15/12,A23,-$B$14)))</f>
        <v/>
      </c>
      <c r="C23" s="16" t="str">
        <f aca="false">IF(B23="","",B23*A23-$B$14+N($B$16))</f>
        <v/>
      </c>
      <c r="D23" s="26" t="str">
        <f aca="false">IF(OR(B23="",$B$13=""),"",IF(B23&lt;=$B$13,"Oui","Non : trop lourde"))</f>
        <v/>
      </c>
    </row>
    <row r="25" customFormat="false" ht="39.75" hidden="false" customHeight="true" outlineLevel="0" collapsed="false">
      <c r="A25" s="7" t="s">
        <v>107</v>
      </c>
      <c r="B25" s="7"/>
      <c r="C25" s="7"/>
      <c r="D25" s="7"/>
    </row>
  </sheetData>
  <mergeCells count="2">
    <mergeCell ref="A4:D4"/>
    <mergeCell ref="A25:D25"/>
  </mergeCells>
  <conditionalFormatting sqref="D19:D23">
    <cfRule type="expression" priority="2" aboveAverage="0" equalAverage="0" bottom="0" percent="0" rank="0" text="" dxfId="3">
      <formula>LEFT(D19,3)="Non"</formula>
    </cfRule>
  </conditionalFormatting>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5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27" t="s">
        <v>110</v>
      </c>
    </row>
    <row r="5" customFormat="false" ht="15" hidden="false" customHeight="false" outlineLevel="0" collapsed="false">
      <c r="A5" s="27" t="s">
        <v>111</v>
      </c>
    </row>
    <row r="6" customFormat="false" ht="15" hidden="false" customHeight="false" outlineLevel="0" collapsed="false">
      <c r="A6" s="27" t="s">
        <v>112</v>
      </c>
    </row>
    <row r="7" customFormat="false" ht="15" hidden="false" customHeight="false" outlineLevel="0" collapsed="false">
      <c r="A7" s="27"/>
    </row>
    <row r="8" customFormat="false" ht="15" hidden="false" customHeight="false" outlineLevel="0" collapsed="false">
      <c r="A8" s="27" t="s">
        <v>113</v>
      </c>
    </row>
    <row r="9" customFormat="false" ht="15" hidden="false" customHeight="false" outlineLevel="0" collapsed="false">
      <c r="A9" s="27"/>
    </row>
    <row r="10" customFormat="false" ht="15" hidden="false" customHeight="false" outlineLevel="0" collapsed="false">
      <c r="A10" s="27" t="s">
        <v>114</v>
      </c>
    </row>
    <row r="11" customFormat="false" ht="15" hidden="false" customHeight="false" outlineLevel="0" collapsed="false">
      <c r="A11" s="27"/>
    </row>
    <row r="12" customFormat="false" ht="15" hidden="false" customHeight="false" outlineLevel="0" collapsed="false">
      <c r="A12" s="28" t="s">
        <v>115</v>
      </c>
    </row>
    <row r="13" customFormat="false" ht="15" hidden="false" customHeight="false" outlineLevel="0" collapsed="false">
      <c r="A13" s="27"/>
    </row>
    <row r="14" customFormat="false" ht="15" hidden="false" customHeight="false" outlineLevel="0" collapsed="false">
      <c r="A14" s="27" t="s">
        <v>116</v>
      </c>
    </row>
    <row r="15" customFormat="false" ht="15" hidden="false" customHeight="false" outlineLevel="0" collapsed="false">
      <c r="A15" s="27"/>
    </row>
    <row r="16" customFormat="false" ht="60" hidden="false" customHeight="true" outlineLevel="0" collapsed="false">
      <c r="A16" s="27" t="s">
        <v>117</v>
      </c>
    </row>
    <row r="17" customFormat="false" ht="15" hidden="false" customHeight="false" outlineLevel="0" collapsed="false">
      <c r="A17" s="27"/>
    </row>
    <row r="18" customFormat="false" ht="45" hidden="false" customHeight="true" outlineLevel="0" collapsed="false">
      <c r="A18" s="27" t="s">
        <v>118</v>
      </c>
    </row>
    <row r="19" customFormat="false" ht="15" hidden="false" customHeight="false" outlineLevel="0" collapsed="false">
      <c r="A19" s="27"/>
    </row>
    <row r="20" customFormat="false" ht="45" hidden="false" customHeight="true" outlineLevel="0" collapsed="false">
      <c r="A20" s="27" t="s">
        <v>119</v>
      </c>
    </row>
    <row r="21" customFormat="false" ht="15" hidden="false" customHeight="false" outlineLevel="0" collapsed="false">
      <c r="A21" s="27"/>
    </row>
    <row r="22" customFormat="false" ht="30" hidden="false" customHeight="true" outlineLevel="0" collapsed="false">
      <c r="A22" s="27" t="s">
        <v>120</v>
      </c>
    </row>
    <row r="23" customFormat="false" ht="15" hidden="false" customHeight="false" outlineLevel="0" collapsed="false">
      <c r="A23" s="27"/>
    </row>
    <row r="24" customFormat="false" ht="30" hidden="false" customHeight="true" outlineLevel="0" collapsed="false">
      <c r="A24" s="27" t="s">
        <v>121</v>
      </c>
    </row>
    <row r="25" customFormat="false" ht="15" hidden="false" customHeight="false" outlineLevel="0" collapsed="false">
      <c r="A25" s="27"/>
    </row>
    <row r="26" customFormat="false" ht="15" hidden="false" customHeight="false" outlineLevel="0" collapsed="false">
      <c r="A26" s="27" t="s">
        <v>122</v>
      </c>
    </row>
    <row r="27" customFormat="false" ht="15" hidden="false" customHeight="false" outlineLevel="0" collapsed="false">
      <c r="A27" s="27"/>
    </row>
    <row r="28" customFormat="false" ht="45" hidden="false" customHeight="true" outlineLevel="0" collapsed="false">
      <c r="A28" s="27" t="s">
        <v>123</v>
      </c>
    </row>
  </sheetData>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8"/>
    <col collapsed="false" customWidth="true" hidden="false" outlineLevel="0" max="4" min="4" style="0" width="40"/>
    <col collapsed="false" customWidth="true" hidden="false" outlineLevel="0" max="5" min="5" style="0" width="18"/>
  </cols>
  <sheetData>
    <row r="1" customFormat="false" ht="18.55" hidden="false" customHeight="false" outlineLevel="0" collapsed="false">
      <c r="A1" s="1" t="s">
        <v>124</v>
      </c>
    </row>
    <row r="2" customFormat="false" ht="15" hidden="false" customHeight="false" outlineLevel="0" collapsed="false">
      <c r="A2" s="2" t="s">
        <v>125</v>
      </c>
    </row>
    <row r="4" customFormat="false" ht="15" hidden="false" customHeight="false" outlineLevel="0" collapsed="false">
      <c r="A4" s="8" t="s">
        <v>126</v>
      </c>
      <c r="B4" s="9"/>
      <c r="C4" s="9"/>
      <c r="D4" s="9"/>
      <c r="E4" s="9"/>
    </row>
    <row r="5" customFormat="false" ht="15" hidden="false" customHeight="true" outlineLevel="0" collapsed="false">
      <c r="A5" s="7" t="s">
        <v>24</v>
      </c>
      <c r="B5" s="7"/>
      <c r="C5" s="7"/>
      <c r="D5" s="7"/>
      <c r="E5" s="7"/>
    </row>
    <row r="7" customFormat="false" ht="30" hidden="false" customHeight="true" outlineLevel="0" collapsed="false">
      <c r="A7" s="4" t="s">
        <v>127</v>
      </c>
      <c r="B7" s="4" t="s">
        <v>128</v>
      </c>
      <c r="C7" s="4"/>
      <c r="D7" s="4" t="s">
        <v>129</v>
      </c>
      <c r="E7" s="4" t="s">
        <v>128</v>
      </c>
    </row>
    <row r="8" customFormat="false" ht="15" hidden="false" customHeight="false" outlineLevel="0" collapsed="false">
      <c r="A8" s="9" t="s">
        <v>130</v>
      </c>
      <c r="B8" s="10"/>
      <c r="D8" s="9" t="s">
        <v>131</v>
      </c>
      <c r="E8" s="10"/>
    </row>
    <row r="9" customFormat="false" ht="15" hidden="false" customHeight="false" outlineLevel="0" collapsed="false">
      <c r="A9" s="9" t="s">
        <v>132</v>
      </c>
      <c r="B9" s="10"/>
      <c r="D9" s="9" t="s">
        <v>133</v>
      </c>
      <c r="E9" s="10"/>
    </row>
    <row r="10" customFormat="false" ht="15" hidden="false" customHeight="false" outlineLevel="0" collapsed="false">
      <c r="A10" s="9" t="s">
        <v>134</v>
      </c>
      <c r="B10" s="10"/>
      <c r="D10" s="9" t="s">
        <v>135</v>
      </c>
      <c r="E10" s="10"/>
    </row>
    <row r="11" customFormat="false" ht="15" hidden="false" customHeight="false" outlineLevel="0" collapsed="false">
      <c r="A11" s="9" t="s">
        <v>136</v>
      </c>
      <c r="B11" s="10"/>
      <c r="D11" s="9" t="s">
        <v>137</v>
      </c>
      <c r="E11" s="10"/>
    </row>
    <row r="12" customFormat="false" ht="15" hidden="false" customHeight="false" outlineLevel="0" collapsed="false">
      <c r="A12" s="9" t="s">
        <v>138</v>
      </c>
      <c r="B12" s="10"/>
      <c r="D12" s="9"/>
      <c r="E12" s="10"/>
    </row>
    <row r="13" customFormat="false" ht="15" hidden="false" customHeight="false" outlineLevel="0" collapsed="false">
      <c r="A13" s="9" t="s">
        <v>139</v>
      </c>
      <c r="B13" s="10"/>
      <c r="D13" s="9"/>
      <c r="E13" s="10"/>
    </row>
    <row r="14" customFormat="false" ht="15" hidden="false" customHeight="false" outlineLevel="0" collapsed="false">
      <c r="A14" s="21" t="s">
        <v>140</v>
      </c>
      <c r="B14" s="11" t="n">
        <f aca="false">SUM(B8:B13)</f>
        <v>0</v>
      </c>
      <c r="D14" s="21" t="s">
        <v>141</v>
      </c>
      <c r="E14" s="11" t="n">
        <f aca="false">SUM(E8:E13)</f>
        <v>0</v>
      </c>
    </row>
    <row r="16" customFormat="false" ht="15" hidden="false" customHeight="false" outlineLevel="0" collapsed="false">
      <c r="A16" s="5" t="s">
        <v>142</v>
      </c>
      <c r="B16" s="19" t="n">
        <f aca="false">E14-B14</f>
        <v>0</v>
      </c>
    </row>
    <row r="17" customFormat="false" ht="15" hidden="false" customHeight="false" outlineLevel="0" collapsed="false">
      <c r="A17" s="5" t="s">
        <v>143</v>
      </c>
      <c r="B17" s="29" t="str">
        <f aca="false">IF(N(B14)=0,"",E8/B14)</f>
        <v/>
      </c>
    </row>
    <row r="18" customFormat="false" ht="15" hidden="false" customHeight="false" outlineLevel="0" collapsed="false">
      <c r="A18" s="5" t="s">
        <v>144</v>
      </c>
      <c r="B18" s="26" t="str">
        <f aca="false">IF(N(B14)=0,"",IF(B16=0,"Équilibré",IF(B16&lt;0,"Ressources insuffisantes","Ressources en trop")))</f>
        <v/>
      </c>
      <c r="C18" s="26"/>
      <c r="D18" s="26"/>
      <c r="E18" s="26"/>
    </row>
    <row r="20" customFormat="false" ht="39.75" hidden="false" customHeight="true" outlineLevel="0" collapsed="false">
      <c r="A20" s="7" t="s">
        <v>145</v>
      </c>
      <c r="B20" s="7"/>
      <c r="C20" s="7"/>
      <c r="D20" s="7"/>
      <c r="E20" s="7"/>
    </row>
  </sheetData>
  <mergeCells count="4">
    <mergeCell ref="B4:E4"/>
    <mergeCell ref="A5:E5"/>
    <mergeCell ref="B18:E18"/>
    <mergeCell ref="A20:E20"/>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1"/>
    <col collapsed="false" customWidth="true" hidden="false" outlineLevel="0" max="8" min="8" style="0" width="12"/>
  </cols>
  <sheetData>
    <row r="1" customFormat="false" ht="18.55" hidden="false" customHeight="false" outlineLevel="0" collapsed="false">
      <c r="A1" s="1" t="s">
        <v>146</v>
      </c>
    </row>
    <row r="2" customFormat="false" ht="15" hidden="false" customHeight="false" outlineLevel="0" collapsed="false">
      <c r="A2" s="2" t="s">
        <v>147</v>
      </c>
    </row>
    <row r="4" customFormat="false" ht="30" hidden="false" customHeight="true" outlineLevel="0" collapsed="false">
      <c r="A4" s="3" t="s">
        <v>148</v>
      </c>
      <c r="B4" s="3"/>
      <c r="C4" s="3"/>
      <c r="D4" s="3"/>
      <c r="E4" s="3"/>
      <c r="F4" s="3"/>
      <c r="G4" s="3"/>
      <c r="H4" s="3"/>
    </row>
    <row r="6" customFormat="false" ht="15" hidden="false" customHeight="false" outlineLevel="0" collapsed="false">
      <c r="A6" s="21" t="s">
        <v>149</v>
      </c>
      <c r="B6" s="21"/>
      <c r="C6" s="21"/>
      <c r="D6" s="21"/>
      <c r="E6" s="21"/>
      <c r="F6" s="21"/>
      <c r="G6" s="21"/>
      <c r="H6" s="21"/>
    </row>
    <row r="7" customFormat="false" ht="30" hidden="false" customHeight="true" outlineLevel="0" collapsed="false">
      <c r="A7" s="4"/>
      <c r="B7" s="4" t="s">
        <v>83</v>
      </c>
      <c r="C7" s="4" t="s">
        <v>33</v>
      </c>
      <c r="D7" s="4" t="s">
        <v>84</v>
      </c>
      <c r="E7" s="4" t="s">
        <v>38</v>
      </c>
      <c r="F7" s="4"/>
      <c r="G7" s="4"/>
      <c r="H7" s="4"/>
    </row>
    <row r="8" customFormat="false" ht="15" hidden="false" customHeight="false" outlineLevel="0" collapsed="false">
      <c r="A8" s="17" t="s">
        <v>150</v>
      </c>
      <c r="B8" s="10" t="n">
        <v>520</v>
      </c>
      <c r="C8" s="10" t="n">
        <v>720</v>
      </c>
      <c r="D8" s="10" t="n">
        <v>470</v>
      </c>
      <c r="E8" s="16" t="n">
        <f aca="false">SUM(B8:D8)</f>
        <v>1710</v>
      </c>
    </row>
    <row r="9" customFormat="false" ht="15" hidden="false" customHeight="false" outlineLevel="0" collapsed="false">
      <c r="A9" s="17" t="s">
        <v>151</v>
      </c>
      <c r="B9" s="10" t="n">
        <v>180</v>
      </c>
      <c r="C9" s="10" t="n">
        <v>250</v>
      </c>
      <c r="D9" s="10" t="n">
        <v>165</v>
      </c>
      <c r="E9" s="16" t="n">
        <f aca="false">SUM(B9:D9)</f>
        <v>595</v>
      </c>
    </row>
    <row r="10" customFormat="false" ht="15" hidden="false" customHeight="false" outlineLevel="0" collapsed="false">
      <c r="A10" s="17" t="s">
        <v>152</v>
      </c>
      <c r="B10" s="10" t="n">
        <v>150</v>
      </c>
      <c r="C10" s="10" t="n">
        <v>150</v>
      </c>
      <c r="D10" s="10" t="n">
        <v>150</v>
      </c>
      <c r="E10" s="16" t="n">
        <f aca="false">SUM(B10:D10)</f>
        <v>450</v>
      </c>
    </row>
    <row r="11" customFormat="false" ht="15" hidden="false" customHeight="false" outlineLevel="0" collapsed="false">
      <c r="A11" s="17" t="s">
        <v>43</v>
      </c>
      <c r="B11" s="10" t="n">
        <v>50</v>
      </c>
      <c r="C11" s="10" t="n">
        <v>50</v>
      </c>
      <c r="D11" s="10" t="n">
        <v>50</v>
      </c>
      <c r="E11" s="16" t="n">
        <f aca="false">SUM(B11:D11)</f>
        <v>150</v>
      </c>
    </row>
    <row r="12" customFormat="false" ht="15" hidden="false" customHeight="false" outlineLevel="0" collapsed="false">
      <c r="A12" s="17" t="s">
        <v>153</v>
      </c>
      <c r="B12" s="10" t="n">
        <v>25</v>
      </c>
      <c r="C12" s="10" t="n">
        <v>25</v>
      </c>
      <c r="D12" s="10" t="n">
        <v>25</v>
      </c>
      <c r="E12" s="16" t="n">
        <f aca="false">SUM(B12:D12)</f>
        <v>75</v>
      </c>
    </row>
    <row r="13" customFormat="false" ht="15" hidden="false" customHeight="false" outlineLevel="0" collapsed="false">
      <c r="A13" s="17" t="s">
        <v>154</v>
      </c>
      <c r="B13" s="10" t="n">
        <v>15</v>
      </c>
      <c r="C13" s="10" t="n">
        <v>15</v>
      </c>
      <c r="D13" s="10" t="n">
        <v>15</v>
      </c>
      <c r="E13" s="16" t="n">
        <f aca="false">SUM(B13:D13)</f>
        <v>45</v>
      </c>
    </row>
    <row r="14" customFormat="false" ht="15" hidden="false" customHeight="false" outlineLevel="0" collapsed="false">
      <c r="A14" s="17" t="s">
        <v>155</v>
      </c>
      <c r="B14" s="10" t="n">
        <v>100</v>
      </c>
      <c r="C14" s="10" t="n">
        <v>100</v>
      </c>
      <c r="D14" s="10" t="n">
        <v>100</v>
      </c>
      <c r="E14" s="16" t="n">
        <f aca="false">SUM(B14:D14)</f>
        <v>300</v>
      </c>
    </row>
    <row r="15" customFormat="false" ht="15" hidden="false" customHeight="false" outlineLevel="0" collapsed="false">
      <c r="A15" s="21" t="s">
        <v>156</v>
      </c>
      <c r="B15" s="11" t="n">
        <f aca="false">B8-SUM(B9:B14)</f>
        <v>0</v>
      </c>
      <c r="C15" s="11" t="n">
        <f aca="false">C8-SUM(C9:C14)</f>
        <v>130</v>
      </c>
      <c r="D15" s="11" t="n">
        <f aca="false">D8-SUM(D9:D14)</f>
        <v>-35</v>
      </c>
      <c r="E15" s="11" t="n">
        <f aca="false">E8-SUM(E9:E14)</f>
        <v>95</v>
      </c>
    </row>
    <row r="17" customFormat="false" ht="15" hidden="false" customHeight="false" outlineLevel="0" collapsed="false">
      <c r="A17" s="21" t="s">
        <v>157</v>
      </c>
      <c r="B17" s="21"/>
      <c r="C17" s="21"/>
      <c r="D17" s="21"/>
      <c r="E17" s="21"/>
      <c r="F17" s="21"/>
      <c r="G17" s="21"/>
      <c r="H17" s="21"/>
    </row>
    <row r="18" customFormat="false" ht="30" hidden="false" customHeight="true" outlineLevel="0" collapsed="false">
      <c r="A18" s="4"/>
      <c r="B18" s="4" t="s">
        <v>26</v>
      </c>
      <c r="C18" s="4" t="s">
        <v>27</v>
      </c>
      <c r="D18" s="4" t="s">
        <v>28</v>
      </c>
      <c r="E18" s="4" t="s">
        <v>29</v>
      </c>
      <c r="F18" s="4" t="s">
        <v>30</v>
      </c>
      <c r="G18" s="4" t="s">
        <v>31</v>
      </c>
      <c r="H18" s="4" t="s">
        <v>38</v>
      </c>
    </row>
    <row r="19" customFormat="false" ht="15" hidden="false" customHeight="false" outlineLevel="0" collapsed="false">
      <c r="A19" s="5" t="s">
        <v>158</v>
      </c>
      <c r="B19" s="10" t="n">
        <v>150</v>
      </c>
      <c r="C19" s="16" t="n">
        <f aca="false">B26</f>
        <v>-75</v>
      </c>
      <c r="D19" s="16" t="n">
        <f aca="false">C26</f>
        <v>145</v>
      </c>
      <c r="E19" s="16" t="n">
        <f aca="false">D26</f>
        <v>85</v>
      </c>
      <c r="F19" s="16" t="n">
        <f aca="false">E26</f>
        <v>-95</v>
      </c>
      <c r="G19" s="16" t="n">
        <f aca="false">F26</f>
        <v>470</v>
      </c>
    </row>
    <row r="20" customFormat="false" ht="15" hidden="false" customHeight="false" outlineLevel="0" collapsed="false">
      <c r="A20" s="17" t="s">
        <v>159</v>
      </c>
      <c r="B20" s="10" t="n">
        <v>350</v>
      </c>
      <c r="C20" s="10" t="n">
        <v>700</v>
      </c>
      <c r="D20" s="10" t="n">
        <v>450</v>
      </c>
      <c r="E20" s="10" t="n">
        <v>550</v>
      </c>
      <c r="F20" s="10" t="n">
        <v>1100</v>
      </c>
      <c r="G20" s="10" t="n">
        <v>300</v>
      </c>
      <c r="H20" s="16" t="n">
        <f aca="false">SUM(B20:G20)</f>
        <v>3450</v>
      </c>
    </row>
    <row r="21" customFormat="false" ht="15" hidden="false" customHeight="false" outlineLevel="0" collapsed="false">
      <c r="A21" s="17" t="s">
        <v>160</v>
      </c>
      <c r="B21" s="10" t="n">
        <v>250</v>
      </c>
      <c r="C21" s="10" t="n">
        <v>150</v>
      </c>
      <c r="D21" s="10" t="n">
        <v>180</v>
      </c>
      <c r="E21" s="10" t="n">
        <v>400</v>
      </c>
      <c r="F21" s="10" t="n">
        <v>200</v>
      </c>
      <c r="G21" s="10" t="n">
        <v>100</v>
      </c>
      <c r="H21" s="16" t="n">
        <f aca="false">SUM(B21:G21)</f>
        <v>1280</v>
      </c>
    </row>
    <row r="22" customFormat="false" ht="15" hidden="false" customHeight="false" outlineLevel="0" collapsed="false">
      <c r="A22" s="17" t="s">
        <v>152</v>
      </c>
      <c r="B22" s="10" t="n">
        <v>150</v>
      </c>
      <c r="C22" s="10" t="n">
        <v>150</v>
      </c>
      <c r="D22" s="10" t="n">
        <v>150</v>
      </c>
      <c r="E22" s="10" t="n">
        <v>150</v>
      </c>
      <c r="F22" s="10" t="n">
        <v>150</v>
      </c>
      <c r="G22" s="10" t="n">
        <v>150</v>
      </c>
      <c r="H22" s="16" t="n">
        <f aca="false">SUM(B22:G22)</f>
        <v>900</v>
      </c>
    </row>
    <row r="23" customFormat="false" ht="15" hidden="false" customHeight="false" outlineLevel="0" collapsed="false">
      <c r="A23" s="17" t="s">
        <v>43</v>
      </c>
      <c r="B23" s="10" t="n">
        <v>50</v>
      </c>
      <c r="C23" s="10" t="n">
        <v>50</v>
      </c>
      <c r="D23" s="10" t="n">
        <v>50</v>
      </c>
      <c r="E23" s="10" t="n">
        <v>50</v>
      </c>
      <c r="F23" s="10" t="n">
        <v>50</v>
      </c>
      <c r="G23" s="10" t="n">
        <v>50</v>
      </c>
      <c r="H23" s="16" t="n">
        <f aca="false">SUM(B23:G23)</f>
        <v>300</v>
      </c>
    </row>
    <row r="24" customFormat="false" ht="15" hidden="false" customHeight="false" outlineLevel="0" collapsed="false">
      <c r="A24" s="17" t="s">
        <v>155</v>
      </c>
      <c r="B24" s="10" t="n">
        <v>100</v>
      </c>
      <c r="C24" s="10" t="n">
        <v>100</v>
      </c>
      <c r="D24" s="10" t="n">
        <v>100</v>
      </c>
      <c r="E24" s="10" t="n">
        <v>100</v>
      </c>
      <c r="F24" s="10" t="n">
        <v>100</v>
      </c>
      <c r="G24" s="10" t="n">
        <v>100</v>
      </c>
      <c r="H24" s="16" t="n">
        <f aca="false">SUM(B24:G24)</f>
        <v>600</v>
      </c>
    </row>
    <row r="25" customFormat="false" ht="15" hidden="false" customHeight="false" outlineLevel="0" collapsed="false">
      <c r="A25" s="17" t="s">
        <v>161</v>
      </c>
      <c r="B25" s="10" t="n">
        <v>25</v>
      </c>
      <c r="C25" s="10" t="n">
        <v>30</v>
      </c>
      <c r="D25" s="10" t="n">
        <v>30</v>
      </c>
      <c r="E25" s="10" t="n">
        <v>30</v>
      </c>
      <c r="F25" s="10" t="n">
        <v>35</v>
      </c>
      <c r="G25" s="10" t="n">
        <v>25</v>
      </c>
      <c r="H25" s="16" t="n">
        <f aca="false">SUM(B25:G25)</f>
        <v>175</v>
      </c>
    </row>
    <row r="26" customFormat="false" ht="15" hidden="false" customHeight="false" outlineLevel="0" collapsed="false">
      <c r="A26" s="21" t="s">
        <v>162</v>
      </c>
      <c r="B26" s="11" t="n">
        <f aca="false">B19+B20-SUM(B21:B25)</f>
        <v>-75</v>
      </c>
      <c r="C26" s="11" t="n">
        <f aca="false">C19+C20-SUM(C21:C25)</f>
        <v>145</v>
      </c>
      <c r="D26" s="11" t="n">
        <f aca="false">D19+D20-SUM(D21:D25)</f>
        <v>85</v>
      </c>
      <c r="E26" s="11" t="n">
        <f aca="false">E19+E20-SUM(E21:E25)</f>
        <v>-95</v>
      </c>
      <c r="F26" s="11" t="n">
        <f aca="false">F19+F20-SUM(F21:F25)</f>
        <v>470</v>
      </c>
      <c r="G26" s="11" t="n">
        <f aca="false">G19+G20-SUM(G21:G25)</f>
        <v>345</v>
      </c>
      <c r="H26" s="11" t="n">
        <f aca="false">H20-SUM(H21:H25)</f>
        <v>195</v>
      </c>
    </row>
    <row r="27" customFormat="false" ht="27.75" hidden="false" customHeight="true" outlineLevel="0" collapsed="false">
      <c r="A27" s="15" t="s">
        <v>163</v>
      </c>
      <c r="B27" s="19" t="n">
        <f aca="false">B19+B20+100-SUM(B21:B25)</f>
        <v>25</v>
      </c>
      <c r="C27" s="19" t="n">
        <f aca="false">B27+C20-100-SUM(C21:C25)</f>
        <v>145</v>
      </c>
      <c r="D27" s="19" t="n">
        <f aca="false">C27+D20-SUM(D21:D25)</f>
        <v>85</v>
      </c>
      <c r="E27" s="19" t="n">
        <f aca="false">D27+E20+300-SUM(E21:E25)</f>
        <v>205</v>
      </c>
      <c r="F27" s="19" t="n">
        <f aca="false">E27+F20-300-SUM(F21:F25)</f>
        <v>470</v>
      </c>
      <c r="G27" s="19" t="n">
        <f aca="false">F27+G20-SUM(G21:G25)</f>
        <v>345</v>
      </c>
    </row>
    <row r="28" customFormat="false" ht="15" hidden="false" customHeight="true" outlineLevel="0" collapsed="false">
      <c r="A28" s="7" t="s">
        <v>164</v>
      </c>
      <c r="B28" s="7"/>
      <c r="C28" s="7"/>
      <c r="D28" s="7"/>
      <c r="E28" s="7"/>
      <c r="F28" s="7"/>
      <c r="G28" s="7"/>
      <c r="H28" s="7"/>
    </row>
    <row r="30" customFormat="false" ht="15" hidden="false" customHeight="false" outlineLevel="0" collapsed="false">
      <c r="A30" s="21" t="s">
        <v>165</v>
      </c>
      <c r="B30" s="21"/>
      <c r="C30" s="21"/>
      <c r="D30" s="21"/>
      <c r="E30" s="21"/>
      <c r="F30" s="21"/>
      <c r="G30" s="21"/>
      <c r="H30" s="21"/>
    </row>
    <row r="31" customFormat="false" ht="15" hidden="false" customHeight="false" outlineLevel="0" collapsed="false">
      <c r="A31" s="17" t="s">
        <v>166</v>
      </c>
      <c r="B31" s="16" t="n">
        <f aca="false">H26*1000/6</f>
        <v>32500</v>
      </c>
      <c r="C31" s="16"/>
    </row>
    <row r="32" customFormat="false" ht="15" hidden="false" customHeight="false" outlineLevel="0" collapsed="false">
      <c r="A32" s="17" t="s">
        <v>167</v>
      </c>
      <c r="B32" s="10" t="n">
        <v>200000</v>
      </c>
      <c r="C32" s="10"/>
    </row>
    <row r="33" customFormat="false" ht="15" hidden="false" customHeight="false" outlineLevel="0" collapsed="false">
      <c r="A33" s="17" t="s">
        <v>168</v>
      </c>
      <c r="B33" s="10" t="n">
        <v>80000</v>
      </c>
      <c r="C33" s="10"/>
    </row>
    <row r="34" customFormat="false" ht="15" hidden="false" customHeight="false" outlineLevel="0" collapsed="false">
      <c r="A34" s="17" t="s">
        <v>169</v>
      </c>
      <c r="B34" s="16" t="n">
        <f aca="false">B32-B33</f>
        <v>120000</v>
      </c>
      <c r="C34" s="16"/>
    </row>
    <row r="35" customFormat="false" ht="15" hidden="false" customHeight="false" outlineLevel="0" collapsed="false">
      <c r="A35" s="17" t="s">
        <v>170</v>
      </c>
      <c r="B35" s="16" t="n">
        <f aca="false">B31+B34</f>
        <v>152500</v>
      </c>
      <c r="C35" s="16"/>
    </row>
    <row r="36" customFormat="false" ht="15" hidden="false" customHeight="false" outlineLevel="0" collapsed="false">
      <c r="A36" s="5" t="s">
        <v>171</v>
      </c>
      <c r="B36" s="19" t="n">
        <f aca="false">B35*0.5</f>
        <v>76250</v>
      </c>
      <c r="C36" s="19"/>
    </row>
    <row r="37" customFormat="false" ht="15" hidden="false" customHeight="false" outlineLevel="0" collapsed="false">
      <c r="A37" s="17" t="s">
        <v>172</v>
      </c>
      <c r="B37" s="10" t="n">
        <v>900000</v>
      </c>
      <c r="C37" s="10"/>
    </row>
    <row r="38" customFormat="false" ht="15" hidden="false" customHeight="false" outlineLevel="0" collapsed="false">
      <c r="A38" s="17" t="s">
        <v>173</v>
      </c>
      <c r="B38" s="23" t="n">
        <v>0.2</v>
      </c>
      <c r="C38" s="23"/>
    </row>
    <row r="39" customFormat="false" ht="15" hidden="false" customHeight="false" outlineLevel="0" collapsed="false">
      <c r="A39" s="5" t="s">
        <v>174</v>
      </c>
      <c r="B39" s="19" t="n">
        <f aca="false">PMT(B38/12,12,-B37)</f>
        <v>83371.0553073721</v>
      </c>
      <c r="C39" s="19"/>
      <c r="D39" s="30" t="str">
        <f aca="false">IF(B39&lt;=B36,"Supportable","Trop lourde")</f>
        <v>Trop lourde</v>
      </c>
    </row>
    <row r="40" customFormat="false" ht="15" hidden="false" customHeight="false" outlineLevel="0" collapsed="false">
      <c r="A40" s="5" t="s">
        <v>175</v>
      </c>
      <c r="B40" s="19" t="n">
        <f aca="false">PMT(B38/12,18,-B37)</f>
        <v>58286.880545411</v>
      </c>
      <c r="C40" s="19"/>
      <c r="D40" s="26" t="str">
        <f aca="false">IF(B40&lt;=B36,"Supportable","Trop lourde")</f>
        <v>Supportable</v>
      </c>
    </row>
    <row r="41" customFormat="false" ht="15" hidden="false" customHeight="false" outlineLevel="0" collapsed="false">
      <c r="A41" s="17" t="s">
        <v>176</v>
      </c>
      <c r="B41" s="16" t="n">
        <f aca="false">B39*12-B37</f>
        <v>100452.663688465</v>
      </c>
      <c r="C41" s="16"/>
    </row>
    <row r="42" customFormat="false" ht="15" hidden="false" customHeight="false" outlineLevel="0" collapsed="false">
      <c r="A42" s="17" t="s">
        <v>177</v>
      </c>
      <c r="B42" s="16" t="n">
        <f aca="false">B40*18-B37</f>
        <v>149163.849817398</v>
      </c>
      <c r="C42" s="16"/>
    </row>
  </sheetData>
  <mergeCells count="17">
    <mergeCell ref="A4:H4"/>
    <mergeCell ref="A6:H6"/>
    <mergeCell ref="A17:H17"/>
    <mergeCell ref="A28:H28"/>
    <mergeCell ref="A30:H30"/>
    <mergeCell ref="B31:C31"/>
    <mergeCell ref="B32:C32"/>
    <mergeCell ref="B33:C33"/>
    <mergeCell ref="B34:C34"/>
    <mergeCell ref="B35:C35"/>
    <mergeCell ref="B36:C36"/>
    <mergeCell ref="B37:C37"/>
    <mergeCell ref="B38:C38"/>
    <mergeCell ref="B39:C39"/>
    <mergeCell ref="B40:C40"/>
    <mergeCell ref="B41:C41"/>
    <mergeCell ref="B42:C42"/>
  </mergeCells>
  <conditionalFormatting sqref="B26:G26">
    <cfRule type="cellIs" priority="2" operator="lessThan" aboveAverage="0" equalAverage="0" bottom="0" percent="0" rank="0" text="" dxfId="0">
      <formula>0</formula>
    </cfRule>
  </conditionalFormatting>
  <printOptions headings="false" gridLines="false" gridLinesSet="true" horizontalCentered="tru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2026-10-30T12:22:40Z</dcterms:created>
  <dc:creator>openpyxl</dc:creator>
  <dc:description/>
  <dc:language>en-US</dc:language>
  <cp:lastModifiedBy/>
  <dcterms:modified xsi:type="dcterms:W3CDTF">2026-10-30T12:22:40Z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