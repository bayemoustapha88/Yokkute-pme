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_d_emploi" sheetId="1" state="visible" r:id="rId3"/>
    <sheet name="Avantages_freins" sheetId="2" state="visible" r:id="rId4"/>
    <sheet name="Comparatif_formes" sheetId="3" state="visible" r:id="rId5"/>
    <sheet name="Liste_pieces" sheetId="4" state="visible" r:id="rId6"/>
    <sheet name="Circuit_demarches" sheetId="5" state="visible" r:id="rId7"/>
    <sheet name="Cas_Sokhna"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<sst xmlns="http://schemas.openxmlformats.org/spreadsheetml/2006/main" count="231" uniqueCount="194">
  <si>
    <t xml:space="preserve">MC6 · Se formaliser : pourquoi et comment</t>
  </si>
  <si>
    <t xml:space="preserve">Outils participants · Volet Formalisation U0 et U1 · CADE / CCIAK</t>
  </si>
  <si>
    <t xml:space="preserve">Onglet</t>
  </si>
  <si>
    <t xml:space="preserve">Usage</t>
  </si>
  <si>
    <t xml:space="preserve">Avantages_freins</t>
  </si>
  <si>
    <t xml:space="preserve">Ce que la formalisation me rapporterait, ce qui me retient, et le calcul gain contre coût d'une opportunité.</t>
  </si>
  <si>
    <t xml:space="preserve">Comparatif_formes</t>
  </si>
  <si>
    <t xml:space="preserve">Noter l'entreprise individuelle, le GIE et la SARL selon ce qui compte pour moi ; la forme la mieux notée s'affiche.</t>
  </si>
  <si>
    <t xml:space="preserve">Liste_pieces</t>
  </si>
  <si>
    <t xml:space="preserve">Les pièces à réunir selon la forme choisie ; nombre de pièces manquantes et budget.</t>
  </si>
  <si>
    <t xml:space="preserve">Circuit_demarches</t>
  </si>
  <si>
    <t xml:space="preserve">Mes étapes datées, de la collecte des pièces à la première facture ; les retards sont signalés.</t>
  </si>
  <si>
    <t xml:space="preserve">Cas_Sokhna</t>
  </si>
  <si>
    <t xml:space="preserve">Le cas pratique de la séance, avec son corrigé chiffré.</t>
  </si>
  <si>
    <t xml:space="preserve">Cellules jaunes à texte bleu : à remplir. Les coûts et les pièces viennent du Guide du créateur de l'APIX (mise à jour de février 2023) et sont donnés à titre indicatif : faites-les confirmer à l'antenne APIX de Kaolack avant de déposer votre dossier.</t>
  </si>
  <si>
    <t xml:space="preserve">Avantages et freins de la formalisation</t>
  </si>
  <si>
    <t xml:space="preserve">Ce que j'y gagne, ce qui me retient, et ce que coûte la démarche</t>
  </si>
  <si>
    <t xml:space="preserve">Cellules jaunes à texte bleu : à remplir. Cellules blanches : calculées automatiquement, ne pas modifier.</t>
  </si>
  <si>
    <t xml:space="preserve">Avantage pour mon entreprise</t>
  </si>
  <si>
    <t xml:space="preserve">Exemple concret chez moi</t>
  </si>
  <si>
    <t xml:space="preserve">Gain estimé sur 12 mois (FCFA)</t>
  </si>
  <si>
    <t xml:space="preserve">Facturer des clients qui exigent NINEA et RCCM (hôtels, ONG, entreprises)</t>
  </si>
  <si>
    <t xml:space="preserve">Ex. : un hôtel veut des factures pour ses nappes</t>
  </si>
  <si>
    <t xml:space="preserve">Obtenir un crédit plus important au nom de l'entreprise</t>
  </si>
  <si>
    <t xml:space="preserve">Protéger mon nom commercial</t>
  </si>
  <si>
    <t xml:space="preserve">Accéder aux programmes d'appui et aux marchés publics</t>
  </si>
  <si>
    <t xml:space="preserve">Ouvrir un compte bancaire professionnel</t>
  </si>
  <si>
    <t xml:space="preserve">Autre</t>
  </si>
  <si>
    <t xml:space="preserve">Total des gains estimés</t>
  </si>
  <si>
    <t xml:space="preserve">Frein</t>
  </si>
  <si>
    <t xml:space="preserve">Ce que je crains exactement</t>
  </si>
  <si>
    <t xml:space="preserve">Réponse ou aide possible</t>
  </si>
  <si>
    <t xml:space="preserve">Méconnaissance des avantages</t>
  </si>
  <si>
    <t xml:space="preserve">Peur des lourdeurs administratives</t>
  </si>
  <si>
    <t xml:space="preserve">Perception d'une surveillance de l'État</t>
  </si>
  <si>
    <t xml:space="preserve">Coût des démarches</t>
  </si>
  <si>
    <t xml:space="preserve">Manque de réassurance et d'accompagnement</t>
  </si>
  <si>
    <t xml:space="preserve">Une opportunité chiffrée : gain contre coût de l'immatriculation</t>
  </si>
  <si>
    <t xml:space="preserve">Ventes supplémentaires par mois grâce à l'opportunité (FCFA)</t>
  </si>
  <si>
    <t xml:space="preserve">Marge sur ces ventes (%)</t>
  </si>
  <si>
    <t xml:space="preserve">Nombre de mois</t>
  </si>
  <si>
    <t xml:space="preserve">Frais d'immatriculation au guichet (FCFA)</t>
  </si>
  <si>
    <t xml:space="preserve">Timbres (FCFA)</t>
  </si>
  <si>
    <t xml:space="preserve">Frais annexes : casier, copies, déplacement (FCFA)</t>
  </si>
  <si>
    <t xml:space="preserve">Gain sur la période (FCFA)</t>
  </si>
  <si>
    <t xml:space="preserve">Coût total de l'immatriculation (FCFA)</t>
  </si>
  <si>
    <t xml:space="preserve">Le gain rembourse le coût … fois</t>
  </si>
  <si>
    <t xml:space="preserve">Comparatif des formes juridiques</t>
  </si>
  <si>
    <t xml:space="preserve">Entreprise individuelle (EI), groupement d'intérêt économique (GIE), SARL ou SUARL</t>
  </si>
  <si>
    <t xml:space="preserve">Critère</t>
  </si>
  <si>
    <t xml:space="preserve">Poids (1 à 3)</t>
  </si>
  <si>
    <t xml:space="preserve">EI</t>
  </si>
  <si>
    <t xml:space="preserve">GIE</t>
  </si>
  <si>
    <t xml:space="preserve">SARL</t>
  </si>
  <si>
    <t xml:space="preserve">Simplicité et rapidité des démarches</t>
  </si>
  <si>
    <t xml:space="preserve">Faible coût de création</t>
  </si>
  <si>
    <t xml:space="preserve">Adaptée à ma situation (seul ou à plusieurs)</t>
  </si>
  <si>
    <t xml:space="preserve">Protection de mes biens personnels</t>
  </si>
  <si>
    <t xml:space="preserve">Image auprès des banques et des gros clients</t>
  </si>
  <si>
    <t xml:space="preserve">Légèreté des obligations comptables</t>
  </si>
  <si>
    <t xml:space="preserve">Score pondéré</t>
  </si>
  <si>
    <t xml:space="preserve">Forme la mieux notée</t>
  </si>
  <si>
    <t xml:space="preserve">Les notes déjà saisies sont indicatives : adaptez-les. Notez vous-même la ligne « Adaptée à ma situation » : l'EI pour une personne seule, le GIE pour plusieurs personnes qui mettent une activité en commun, la SARL pour des associés qui veulent séparer leurs biens de ceux de l'entreprise. Mettez le poids 3 sur ce qui compte le plus pour vous.</t>
  </si>
  <si>
    <t xml:space="preserve">Repères</t>
  </si>
  <si>
    <t xml:space="preserve">Notaire</t>
  </si>
  <si>
    <t xml:space="preserve">Non</t>
  </si>
  <si>
    <t xml:space="preserve">Oui, en règle générale</t>
  </si>
  <si>
    <t xml:space="preserve">Coût au guichet APIX</t>
  </si>
  <si>
    <t xml:space="preserve">10 000 FCFA (21 000 avec nom commercial OAPI) + 2 timbres de 2 000</t>
  </si>
  <si>
    <t xml:space="preserve">52 000 FCFA + 2 timbres</t>
  </si>
  <si>
    <t xml:space="preserve">Plusieurs centaines de milliers de FCFA avec notaire et publication</t>
  </si>
  <si>
    <t xml:space="preserve">Délai annoncé</t>
  </si>
  <si>
    <t xml:space="preserve">48 heures</t>
  </si>
  <si>
    <t xml:space="preserve">Plus long, selon le notaire</t>
  </si>
  <si>
    <t xml:space="preserve">Responsabilité des dettes</t>
  </si>
  <si>
    <t xml:space="preserve">Sur tous les biens de l'entrepreneur</t>
  </si>
  <si>
    <t xml:space="preserve">Les membres répondent des dettes</t>
  </si>
  <si>
    <t xml:space="preserve">Limitée aux apports</t>
  </si>
  <si>
    <t xml:space="preserve">Liste des pièces pour NINEA et RCCM</t>
  </si>
  <si>
    <t xml:space="preserve">Le guichet unique de l'APIX délivre le RCCM et le NINEA en même temps</t>
  </si>
  <si>
    <t xml:space="preserve">Forme choisie</t>
  </si>
  <si>
    <t xml:space="preserve">Je veux un nom commercial enregistré (Oui / Non)</t>
  </si>
  <si>
    <t xml:space="preserve">Pièce ou frais</t>
  </si>
  <si>
    <t xml:space="preserve">Pour</t>
  </si>
  <si>
    <t xml:space="preserve">Concerne ma forme ?</t>
  </si>
  <si>
    <t xml:space="preserve">Je l'ai déjà ?</t>
  </si>
  <si>
    <t xml:space="preserve">Coût estimé (FCFA)</t>
  </si>
  <si>
    <t xml:space="preserve">Où l'obtenir</t>
  </si>
  <si>
    <t xml:space="preserve">Pièce d'identité en cours de validité</t>
  </si>
  <si>
    <t xml:space="preserve">Toutes</t>
  </si>
  <si>
    <t xml:space="preserve">Oui</t>
  </si>
  <si>
    <t xml:space="preserve">Déjà en main</t>
  </si>
  <si>
    <t xml:space="preserve">Extrait de casier judiciaire de moins de 3 mois, ou déclaration sur l'honneur</t>
  </si>
  <si>
    <t xml:space="preserve">Tribunal / greffe (montant à confirmer)</t>
  </si>
  <si>
    <t xml:space="preserve">Justificatif d'adresse de l'activité : bail, quittance ou attestation du bailleur</t>
  </si>
  <si>
    <t xml:space="preserve">Bailleur</t>
  </si>
  <si>
    <t xml:space="preserve">Formulaire de déclaration</t>
  </si>
  <si>
    <t xml:space="preserve">Guichet APIX, antenne de Kaolack</t>
  </si>
  <si>
    <t xml:space="preserve">Timbres fiscaux (2 × 2 000 FCFA)</t>
  </si>
  <si>
    <t xml:space="preserve">Recette / guichet</t>
  </si>
  <si>
    <t xml:space="preserve">Frais d'immatriculation EI</t>
  </si>
  <si>
    <t xml:space="preserve">Guichet APIX</t>
  </si>
  <si>
    <t xml:space="preserve">Supplément nom commercial enregistré à l'OAPI</t>
  </si>
  <si>
    <t xml:space="preserve">Option</t>
  </si>
  <si>
    <t xml:space="preserve">Contrat constitutif du GIE signé par tous les membres</t>
  </si>
  <si>
    <t xml:space="preserve">Membres du GIE</t>
  </si>
  <si>
    <t xml:space="preserve">Pièces d'identité et casiers de tous les membres</t>
  </si>
  <si>
    <t xml:space="preserve">Chaque membre</t>
  </si>
  <si>
    <t xml:space="preserve">Frais d'immatriculation GIE</t>
  </si>
  <si>
    <t xml:space="preserve">Statuts établis par un notaire</t>
  </si>
  <si>
    <t xml:space="preserve">Notaire (devis à demander)</t>
  </si>
  <si>
    <t xml:space="preserve">Attestation de dépôt du capital</t>
  </si>
  <si>
    <t xml:space="preserve">Banque ou notaire</t>
  </si>
  <si>
    <t xml:space="preserve">Frais d'immatriculation et de publication SARL</t>
  </si>
  <si>
    <t xml:space="preserve">Guichet APIX (à confirmer)</t>
  </si>
  <si>
    <t xml:space="preserve">Pièces et frais à fournir</t>
  </si>
  <si>
    <t xml:space="preserve">Pièces et frais non encore réunis</t>
  </si>
  <si>
    <t xml:space="preserve">Budget à prévoir (FCFA)</t>
  </si>
  <si>
    <t xml:space="preserve">Source : APIX, Guide du créateur (mise à jour 02.2023). Le coût du casier est une estimation. Les coûts de la SARL dépendent du notaire et ne sont pas chiffrés : demandez un devis. Vérifiez chaque montant à l'antenne APIX de Kaolack.</t>
  </si>
  <si>
    <t xml:space="preserve">Circuit de mes démarches</t>
  </si>
  <si>
    <t xml:space="preserve">De la collecte des pièces à la première facture</t>
  </si>
  <si>
    <t xml:space="preserve">Entreprise</t>
  </si>
  <si>
    <t xml:space="preserve">N°</t>
  </si>
  <si>
    <t xml:space="preserve">Étape</t>
  </si>
  <si>
    <t xml:space="preserve">Date prévue</t>
  </si>
  <si>
    <t xml:space="preserve">Date réalisée</t>
  </si>
  <si>
    <t xml:space="preserve">Statut</t>
  </si>
  <si>
    <t xml:space="preserve">Remarque</t>
  </si>
  <si>
    <t xml:space="preserve">Rassembler les pièces manquantes</t>
  </si>
  <si>
    <t xml:space="preserve">Exemple : casier demandé au tribunal</t>
  </si>
  <si>
    <t xml:space="preserve">Vérifier que le nom commercial est libre</t>
  </si>
  <si>
    <t xml:space="preserve">Déposer le dossier au guichet APIX (antenne de Kaolack)</t>
  </si>
  <si>
    <t xml:space="preserve">Retirer le RCCM et le NINEA</t>
  </si>
  <si>
    <t xml:space="preserve">Ouvrir un compte au nom de l'entreprise</t>
  </si>
  <si>
    <t xml:space="preserve">Préparer un modèle de facture portant NINEA et RCCM</t>
  </si>
  <si>
    <t xml:space="preserve">Émettre la première facture conforme</t>
  </si>
  <si>
    <t xml:space="preserve">Déclaration d'établissement à l'Inspection du travail, si j'emploie du personnel (MC8)</t>
  </si>
  <si>
    <t xml:space="preserve">S'informer de son régime fiscal (MC7)</t>
  </si>
  <si>
    <t xml:space="preserve">Étapes faites</t>
  </si>
  <si>
    <t xml:space="preserve">Cas pratique · Sokhna, couturière et teinturière à Médina Baye</t>
  </si>
  <si>
    <t xml:space="preserve">Énoncé et corrigé chiffré</t>
  </si>
  <si>
    <t xml:space="preserve">Sokhna, 34 ans, est couturière et teinturière de bazin à Médina Baye (Kaolack). Elle travaille avec deux apprenties et vend environ 650 000 FCFA par mois, sans aucun papier d'entreprise. Un hôtel lui propose 1 800 000 FCFA de nappes, serviettes et tenues, livrés et payés sur six mois, à condition de recevoir des factures portant NINEA et RCCM. Son institution de microfinance lui prêterait 1 500 000 FCFA pour une machine à broder si elle est immatriculée ; à titre personnel, seulement 300 000 FCFA en prêt de groupe. Sa sœur et deux teinturières du quartier lui proposent de « monter quelque chose ensemble ».</t>
  </si>
  <si>
    <t xml:space="preserve">Partie A · Faut-il se formaliser ?</t>
  </si>
  <si>
    <t xml:space="preserve">Montant du marché de l'hôtel (FCFA)</t>
  </si>
  <si>
    <t xml:space="preserve">Durée du marché (mois)</t>
  </si>
  <si>
    <t xml:space="preserve">Marge retenue (%)</t>
  </si>
  <si>
    <t xml:space="preserve">Frais d'immatriculation EI avec nom commercial (FCFA)</t>
  </si>
  <si>
    <t xml:space="preserve">Frais annexes estimés (FCFA)</t>
  </si>
  <si>
    <t xml:space="preserve">Ventes par mois à l'hôtel</t>
  </si>
  <si>
    <t xml:space="preserve">Marge par mois</t>
  </si>
  <si>
    <t xml:space="preserve">Marge sur la durée du marché</t>
  </si>
  <si>
    <t xml:space="preserve">Coût total de l'immatriculation</t>
  </si>
  <si>
    <t xml:space="preserve">Le marché rembourse la démarche … fois</t>
  </si>
  <si>
    <t xml:space="preserve">Crédit IMF : immatriculée / à titre personnel (FCFA)</t>
  </si>
  <si>
    <t xml:space="preserve">Crédit supplémentaire grâce à l'immatriculation</t>
  </si>
  <si>
    <t xml:space="preserve">Partie B · Quelle forme juridique ?</t>
  </si>
  <si>
    <t xml:space="preserve">Corrigé : l'EI au nom de Sokhna, tout de suite. L'hôtel et l'IMF traitent avec elle, elle décide seule et a besoin de ses papiers sous quinze jours. Le GIE répond à un autre projet (achats groupés, grosses commandes communes) à étudier dans un an. La SARL n'apporte rien à ce stade : notaire, coût, comptabilité plus lourde.</t>
  </si>
  <si>
    <t xml:space="preserve">Partie C · Le dossier et le calendrier</t>
  </si>
  <si>
    <t xml:space="preserve">Pièce préparée par Sokhna</t>
  </si>
  <si>
    <t xml:space="preserve">Situation</t>
  </si>
  <si>
    <t xml:space="preserve">Corrigé</t>
  </si>
  <si>
    <t xml:space="preserve">Copie de la carte d'identité</t>
  </si>
  <si>
    <t xml:space="preserve">Valide</t>
  </si>
  <si>
    <t xml:space="preserve">Conforme</t>
  </si>
  <si>
    <t xml:space="preserve">Extrait de casier judiciaire</t>
  </si>
  <si>
    <t xml:space="preserve">Daté d'il y a cinq mois</t>
  </si>
  <si>
    <t xml:space="preserve">Trop ancien : en redemander un ou signer une déclaration sur l'honneur</t>
  </si>
  <si>
    <t xml:space="preserve">Justificatif d'adresse de l'atelier</t>
  </si>
  <si>
    <t xml:space="preserve">Absent : bail au nom du mari</t>
  </si>
  <si>
    <t xml:space="preserve">Attestation du titulaire du bail ; confirmer la pièce acceptée au guichet</t>
  </si>
  <si>
    <t xml:space="preserve">Nom commercial « Sokhna Couture »</t>
  </si>
  <si>
    <t xml:space="preserve">Pas vérifié</t>
  </si>
  <si>
    <t xml:space="preserve">Vérifier qu'il est libre ; prévoir deux noms de réserve</t>
  </si>
  <si>
    <t xml:space="preserve">Frais</t>
  </si>
  <si>
    <t xml:space="preserve">10 000 FCFA prévus</t>
  </si>
  <si>
    <t xml:space="preserve">Avec nom commercial : 21 000 FCFA, plus 4 000 FCFA de timbres</t>
  </si>
  <si>
    <t xml:space="preserve">Semaine</t>
  </si>
  <si>
    <t xml:space="preserve">Action</t>
  </si>
  <si>
    <t xml:space="preserve">Résultat attendu</t>
  </si>
  <si>
    <t xml:space="preserve">1</t>
  </si>
  <si>
    <t xml:space="preserve">Redemander le casier, obtenir l'attestation d'adresse, choisir deux noms de réserve</t>
  </si>
  <si>
    <t xml:space="preserve">Dossier complet</t>
  </si>
  <si>
    <t xml:space="preserve">2</t>
  </si>
  <si>
    <t xml:space="preserve">Déposer le dossier à l'antenne APIX de Kaolack</t>
  </si>
  <si>
    <t xml:space="preserve">Récépissé de dépôt</t>
  </si>
  <si>
    <t xml:space="preserve">2 ou 3</t>
  </si>
  <si>
    <t xml:space="preserve">Retirer le RCCM et le NINEA, 48 heures après</t>
  </si>
  <si>
    <t xml:space="preserve">Numéros obtenus</t>
  </si>
  <si>
    <t xml:space="preserve">3</t>
  </si>
  <si>
    <t xml:space="preserve">Modèle de facture avec NINEA et RCCM ; compte au nom de l'entreprise</t>
  </si>
  <si>
    <t xml:space="preserve">Facture et compte prêts</t>
  </si>
  <si>
    <t xml:space="preserve">4</t>
  </si>
  <si>
    <t xml:space="preserve">Offre signée à l'hôtel ; demande de crédit à l'IMF</t>
  </si>
  <si>
    <t xml:space="preserve">Marché et crédit lancés</t>
  </si>
</sst>
</file>

<file path=xl/styles.xml><?xml version="1.0" encoding="utf-8"?>
<styleSheet xmlns="http://schemas.openxmlformats.org/spreadsheetml/2006/main">
  <numFmts count="7">
    <numFmt numFmtId="164" formatCode="General"/>
    <numFmt numFmtId="165" formatCode="#,##0;\-#,##0;\-"/>
    <numFmt numFmtId="166" formatCode="0%"/>
    <numFmt numFmtId="167" formatCode="0"/>
    <numFmt numFmtId="168" formatCode="0.0"/>
    <numFmt numFmtId="169" formatCode="@"/>
    <numFmt numFmtId="170" formatCode="dd/mm/yyyy"/>
  </numFmts>
  <fonts count="16">
    <font>
      <sz val="11"/>
      <color theme="1"/>
      <name val="Calibri"/>
      <family val="2"/>
      <charset val="1"/>
    </font>
    <font>
      <sz val="10"/>
      <name val="Arial"/>
      <family val="0"/>
    </font>
    <font>
      <sz val="10"/>
      <name val="Arial"/>
      <family val="0"/>
    </font>
    <font>
      <sz val="10"/>
      <name val="Arial"/>
      <family val="0"/>
    </font>
    <font>
      <b val="true"/>
      <sz val="15"/>
      <color rgb="FF17342C"/>
      <name val="Arial"/>
      <family val="0"/>
      <charset val="1"/>
    </font>
    <font>
      <i val="true"/>
      <sz val="9"/>
      <color rgb="FF56655F"/>
      <name val="Arial"/>
      <family val="0"/>
      <charset val="1"/>
    </font>
    <font>
      <b val="true"/>
      <sz val="10"/>
      <color rgb="FFFFFFFF"/>
      <name val="Arial"/>
      <family val="0"/>
      <charset val="1"/>
    </font>
    <font>
      <b val="true"/>
      <sz val="10"/>
      <color rgb="FF000000"/>
      <name val="Arial"/>
      <family val="0"/>
      <charset val="1"/>
    </font>
    <font>
      <sz val="10"/>
      <color rgb="FF000000"/>
      <name val="Arial"/>
      <family val="0"/>
      <charset val="1"/>
    </font>
    <font>
      <sz val="10"/>
      <color rgb="FF0000FF"/>
      <name val="Arial"/>
      <family val="0"/>
      <charset val="1"/>
    </font>
    <font>
      <b val="true"/>
      <sz val="10"/>
      <name val="Arial"/>
      <family val="0"/>
      <charset val="1"/>
    </font>
    <font>
      <b val="true"/>
      <sz val="11"/>
      <color rgb="FF17342C"/>
      <name val="Arial"/>
      <family val="0"/>
      <charset val="1"/>
    </font>
    <font>
      <sz val="9"/>
      <color rgb="FF000000"/>
      <name val="Arial"/>
      <family val="0"/>
      <charset val="1"/>
    </font>
    <font>
      <sz val="10"/>
      <name val="Arial"/>
      <family val="0"/>
      <charset val="1"/>
    </font>
    <font>
      <sz val="10"/>
      <color rgb="FF18241F"/>
      <name val="Arial"/>
      <family val="0"/>
      <charset val="1"/>
    </font>
    <font>
      <sz val="9"/>
      <color rgb="FF18241F"/>
      <name val="Arial"/>
      <family val="0"/>
      <charset val="1"/>
    </font>
  </fonts>
  <fills count="6">
    <fill>
      <patternFill patternType="none"/>
    </fill>
    <fill>
      <patternFill patternType="gray125"/>
    </fill>
    <fill>
      <patternFill patternType="solid">
        <fgColor rgb="FF17342C"/>
        <bgColor rgb="FF18241F"/>
      </patternFill>
    </fill>
    <fill>
      <patternFill patternType="solid">
        <fgColor rgb="FFFFF6DC"/>
        <bgColor rgb="FFFBEBEB"/>
      </patternFill>
    </fill>
    <fill>
      <patternFill patternType="solid">
        <fgColor rgb="FFF6E7D2"/>
        <bgColor rgb="FFFBEBEB"/>
      </patternFill>
    </fill>
    <fill>
      <patternFill patternType="solid">
        <fgColor rgb="FFEAEEE8"/>
        <bgColor rgb="FFE5F4E4"/>
      </patternFill>
    </fill>
  </fills>
  <borders count="2">
    <border diagonalUp="false" diagonalDown="false">
      <left/>
      <right/>
      <top/>
      <bottom/>
      <diagonal/>
    </border>
    <border diagonalUp="false" diagonalDown="false">
      <left style="thin">
        <color rgb="FFB7C2BC"/>
      </left>
      <right style="thin">
        <color rgb="FFB7C2BC"/>
      </right>
      <top style="thin">
        <color rgb="FFB7C2BC"/>
      </top>
      <bottom style="thin">
        <color rgb="FFB7C2B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general" vertical="center"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5" fontId="10" fillId="4"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6" fontId="9" fillId="3" borderId="1" xfId="0" applyFont="true" applyBorder="true" applyAlignment="false" applyProtection="false">
      <alignment horizontal="general" vertical="bottom" textRotation="0" wrapText="false" indent="0" shrinkToFit="false"/>
      <protection locked="true" hidden="false"/>
    </xf>
    <xf numFmtId="167" fontId="9" fillId="3" borderId="1" xfId="0" applyFont="true" applyBorder="true" applyAlignment="false" applyProtection="false">
      <alignment horizontal="general" vertical="bottom" textRotation="0" wrapText="false" indent="0" shrinkToFit="false"/>
      <protection locked="true" hidden="false"/>
    </xf>
    <xf numFmtId="168" fontId="10" fillId="4" borderId="1" xfId="0" applyFont="true" applyBorder="true" applyAlignment="false" applyProtection="false">
      <alignment horizontal="general" vertical="bottom" textRotation="0" wrapText="false" indent="0" shrinkToFit="false"/>
      <protection locked="true" hidden="false"/>
    </xf>
    <xf numFmtId="167" fontId="9" fillId="3" borderId="1" xfId="0" applyFont="true" applyBorder="true" applyAlignment="true" applyProtection="false">
      <alignment horizontal="center" vertical="bottom" textRotation="0" wrapText="false" indent="0" shrinkToFit="false"/>
      <protection locked="true" hidden="false"/>
    </xf>
    <xf numFmtId="169" fontId="10"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4" fontId="7" fillId="5" borderId="1" xfId="0" applyFont="true" applyBorder="true" applyAlignment="true" applyProtection="false">
      <alignment horizontal="general" vertical="center"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center" textRotation="0" wrapText="false" indent="0" shrinkToFit="false"/>
      <protection locked="true" hidden="false"/>
    </xf>
    <xf numFmtId="169" fontId="13" fillId="0" borderId="1" xfId="0" applyFont="true" applyBorder="true" applyAlignment="false" applyProtection="false">
      <alignment horizontal="general" vertical="bottom" textRotation="0" wrapText="false" indent="0" shrinkToFit="false"/>
      <protection locked="true" hidden="false"/>
    </xf>
    <xf numFmtId="167" fontId="10" fillId="4" borderId="1" xfId="0" applyFont="true" applyBorder="true" applyAlignment="false" applyProtection="false">
      <alignment horizontal="general" vertical="bottom" textRotation="0" wrapText="false" indent="0" shrinkToFit="false"/>
      <protection locked="true" hidden="false"/>
    </xf>
    <xf numFmtId="170" fontId="9" fillId="3" borderId="1" xfId="0" applyFont="true" applyBorder="true" applyAlignment="false" applyProtection="false">
      <alignment horizontal="general" vertical="bottom" textRotation="0" wrapText="false" indent="0" shrinkToFit="false"/>
      <protection locked="true" hidden="false"/>
    </xf>
    <xf numFmtId="169" fontId="10" fillId="4" borderId="1"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0"/>
        <b val="1"/>
        <color rgb="FF9C0006"/>
      </font>
      <fill>
        <patternFill>
          <bgColor rgb="FFFBEBEB"/>
        </patternFill>
      </fill>
    </dxf>
    <dxf>
      <font>
        <name val="Arial"/>
        <charset val="1"/>
        <family val="0"/>
        <b val="1"/>
        <color rgb="FF006100"/>
      </font>
      <fill>
        <patternFill>
          <bgColor rgb="FFE5F4E4"/>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7C2BC"/>
      <rgbColor rgb="FF808080"/>
      <rgbColor rgb="FF9999FF"/>
      <rgbColor rgb="FF993366"/>
      <rgbColor rgb="FFFFF6DC"/>
      <rgbColor rgb="FFEAEE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BEBEB"/>
      <rgbColor rgb="FFE5F4E4"/>
      <rgbColor rgb="FFF6E7D2"/>
      <rgbColor rgb="FF99CCFF"/>
      <rgbColor rgb="FFFF99CC"/>
      <rgbColor rgb="FFCC99FF"/>
      <rgbColor rgb="FFFFCC99"/>
      <rgbColor rgb="FF3366FF"/>
      <rgbColor rgb="FF33CCCC"/>
      <rgbColor rgb="FF99CC00"/>
      <rgbColor rgb="FFFFCC00"/>
      <rgbColor rgb="FFFF9900"/>
      <rgbColor rgb="FFFF6600"/>
      <rgbColor rgb="FF56655F"/>
      <rgbColor rgb="FF969696"/>
      <rgbColor rgb="FF003366"/>
      <rgbColor rgb="FF339966"/>
      <rgbColor rgb="FF18241F"/>
      <rgbColor rgb="FF333300"/>
      <rgbColor rgb="FF993300"/>
      <rgbColor rgb="FF993366"/>
      <rgbColor rgb="FF333399"/>
      <rgbColor rgb="FF17342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90"/>
  </cols>
  <sheetData>
    <row r="1" customFormat="false" ht="18.55" hidden="false" customHeight="false" outlineLevel="0" collapsed="false">
      <c r="A1" s="1" t="s">
        <v>0</v>
      </c>
    </row>
    <row r="2" customFormat="false" ht="15" hidden="false" customHeight="false" outlineLevel="0" collapsed="false">
      <c r="A2" s="2" t="s">
        <v>1</v>
      </c>
    </row>
    <row r="5" customFormat="false" ht="30" hidden="false" customHeight="true" outlineLevel="0" collapsed="false">
      <c r="A5" s="3" t="s">
        <v>2</v>
      </c>
      <c r="B5" s="3" t="s">
        <v>3</v>
      </c>
    </row>
    <row r="6" customFormat="false" ht="30" hidden="false" customHeight="true" outlineLevel="0" collapsed="false">
      <c r="A6" s="4" t="s">
        <v>4</v>
      </c>
      <c r="B6" s="5" t="s">
        <v>5</v>
      </c>
    </row>
    <row r="7" customFormat="false" ht="30" hidden="false" customHeight="true" outlineLevel="0" collapsed="false">
      <c r="A7" s="4" t="s">
        <v>6</v>
      </c>
      <c r="B7" s="5" t="s">
        <v>7</v>
      </c>
    </row>
    <row r="8" customFormat="false" ht="30" hidden="false" customHeight="true" outlineLevel="0" collapsed="false">
      <c r="A8" s="4" t="s">
        <v>8</v>
      </c>
      <c r="B8" s="5" t="s">
        <v>9</v>
      </c>
    </row>
    <row r="9" customFormat="false" ht="30" hidden="false" customHeight="true" outlineLevel="0" collapsed="false">
      <c r="A9" s="4" t="s">
        <v>10</v>
      </c>
      <c r="B9" s="5" t="s">
        <v>11</v>
      </c>
    </row>
    <row r="10" customFormat="false" ht="30" hidden="false" customHeight="true" outlineLevel="0" collapsed="false">
      <c r="A10" s="4" t="s">
        <v>12</v>
      </c>
      <c r="B10" s="5" t="s">
        <v>13</v>
      </c>
    </row>
    <row r="12" customFormat="false" ht="42" hidden="false" customHeight="true" outlineLevel="0" collapsed="false">
      <c r="A12" s="6" t="s">
        <v>14</v>
      </c>
      <c r="B12" s="6"/>
    </row>
  </sheetData>
  <mergeCells count="1">
    <mergeCell ref="A12:B12"/>
  </mergeCells>
  <printOptions headings="false" gridLines="false" gridLinesSet="true" horizontalCentered="true" verticalCentered="false"/>
  <pageMargins left="0.4" right="0.4" top="1" bottom="1" header="0.511811023622047" footer="0.5"/>
  <pageSetup paperSize="9" scale="100" fitToWidth="1" fitToHeight="0" pageOrder="downThenOver" orientation="portrait" blackAndWhite="false" draft="false" cellComments="none" horizontalDpi="300" verticalDpi="300" copies="1"/>
  <headerFooter differentFirst="false" differentOddEven="false">
    <oddHeader/>
    <oddFooter>&amp;C&amp;8 CADE / CCIAK · Yokkute PME · page &amp;P /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50"/>
    <col collapsed="false" customWidth="true" hidden="false" outlineLevel="0" max="3" min="3" style="0" width="20"/>
  </cols>
  <sheetData>
    <row r="1" customFormat="false" ht="18.55" hidden="false" customHeight="false" outlineLevel="0" collapsed="false">
      <c r="A1" s="1" t="s">
        <v>15</v>
      </c>
    </row>
    <row r="2" customFormat="false" ht="15" hidden="false" customHeight="false" outlineLevel="0" collapsed="false">
      <c r="A2" s="2" t="s">
        <v>16</v>
      </c>
    </row>
    <row r="4" customFormat="false" ht="15" hidden="false" customHeight="true" outlineLevel="0" collapsed="false">
      <c r="A4" s="6" t="s">
        <v>17</v>
      </c>
      <c r="B4" s="6"/>
      <c r="C4" s="6"/>
    </row>
    <row r="6" customFormat="false" ht="30" hidden="false" customHeight="true" outlineLevel="0" collapsed="false">
      <c r="A6" s="3" t="s">
        <v>18</v>
      </c>
      <c r="B6" s="3" t="s">
        <v>19</v>
      </c>
      <c r="C6" s="3" t="s">
        <v>20</v>
      </c>
    </row>
    <row r="7" customFormat="false" ht="31.5" hidden="false" customHeight="true" outlineLevel="0" collapsed="false">
      <c r="A7" s="5" t="s">
        <v>21</v>
      </c>
      <c r="B7" s="7" t="s">
        <v>22</v>
      </c>
      <c r="C7" s="8" t="n">
        <v>600000</v>
      </c>
    </row>
    <row r="8" customFormat="false" ht="31.5" hidden="false" customHeight="true" outlineLevel="0" collapsed="false">
      <c r="A8" s="5" t="s">
        <v>23</v>
      </c>
      <c r="B8" s="7"/>
      <c r="C8" s="8"/>
    </row>
    <row r="9" customFormat="false" ht="31.5" hidden="false" customHeight="true" outlineLevel="0" collapsed="false">
      <c r="A9" s="5" t="s">
        <v>24</v>
      </c>
      <c r="B9" s="7"/>
      <c r="C9" s="8"/>
    </row>
    <row r="10" customFormat="false" ht="31.5" hidden="false" customHeight="true" outlineLevel="0" collapsed="false">
      <c r="A10" s="5" t="s">
        <v>25</v>
      </c>
      <c r="B10" s="7"/>
      <c r="C10" s="8"/>
    </row>
    <row r="11" customFormat="false" ht="31.5" hidden="false" customHeight="true" outlineLevel="0" collapsed="false">
      <c r="A11" s="5" t="s">
        <v>26</v>
      </c>
      <c r="B11" s="7"/>
      <c r="C11" s="8"/>
    </row>
    <row r="12" customFormat="false" ht="31.5" hidden="false" customHeight="true" outlineLevel="0" collapsed="false">
      <c r="A12" s="5" t="s">
        <v>27</v>
      </c>
      <c r="B12" s="7"/>
      <c r="C12" s="8"/>
    </row>
    <row r="13" customFormat="false" ht="15" hidden="false" customHeight="false" outlineLevel="0" collapsed="false">
      <c r="A13" s="9" t="s">
        <v>28</v>
      </c>
      <c r="B13" s="10"/>
      <c r="C13" s="11" t="n">
        <f aca="false">SUM(C7:C12)</f>
        <v>600000</v>
      </c>
    </row>
    <row r="15" customFormat="false" ht="30" hidden="false" customHeight="true" outlineLevel="0" collapsed="false">
      <c r="A15" s="3" t="s">
        <v>29</v>
      </c>
      <c r="B15" s="3" t="s">
        <v>30</v>
      </c>
      <c r="C15" s="3" t="s">
        <v>31</v>
      </c>
    </row>
    <row r="16" customFormat="false" ht="36" hidden="false" customHeight="true" outlineLevel="0" collapsed="false">
      <c r="A16" s="12" t="s">
        <v>32</v>
      </c>
      <c r="B16" s="7"/>
      <c r="C16" s="7"/>
    </row>
    <row r="17" customFormat="false" ht="36" hidden="false" customHeight="true" outlineLevel="0" collapsed="false">
      <c r="A17" s="12" t="s">
        <v>33</v>
      </c>
      <c r="B17" s="7"/>
      <c r="C17" s="7"/>
    </row>
    <row r="18" customFormat="false" ht="36" hidden="false" customHeight="true" outlineLevel="0" collapsed="false">
      <c r="A18" s="12" t="s">
        <v>34</v>
      </c>
      <c r="B18" s="7"/>
      <c r="C18" s="7"/>
    </row>
    <row r="19" customFormat="false" ht="36" hidden="false" customHeight="true" outlineLevel="0" collapsed="false">
      <c r="A19" s="12" t="s">
        <v>35</v>
      </c>
      <c r="B19" s="7"/>
      <c r="C19" s="7"/>
    </row>
    <row r="20" customFormat="false" ht="36" hidden="false" customHeight="true" outlineLevel="0" collapsed="false">
      <c r="A20" s="12" t="s">
        <v>36</v>
      </c>
      <c r="B20" s="7"/>
      <c r="C20" s="7"/>
    </row>
    <row r="22" customFormat="false" ht="15" hidden="false" customHeight="true" outlineLevel="0" collapsed="false">
      <c r="A22" s="13" t="s">
        <v>37</v>
      </c>
      <c r="B22" s="13"/>
      <c r="C22" s="13"/>
    </row>
    <row r="23" customFormat="false" ht="23.85" hidden="false" customHeight="false" outlineLevel="0" collapsed="false">
      <c r="A23" s="5" t="s">
        <v>38</v>
      </c>
      <c r="B23" s="14"/>
      <c r="C23" s="8"/>
    </row>
    <row r="24" customFormat="false" ht="15" hidden="false" customHeight="false" outlineLevel="0" collapsed="false">
      <c r="A24" s="5" t="s">
        <v>39</v>
      </c>
      <c r="B24" s="14"/>
      <c r="C24" s="15"/>
    </row>
    <row r="25" customFormat="false" ht="15" hidden="false" customHeight="false" outlineLevel="0" collapsed="false">
      <c r="A25" s="5" t="s">
        <v>40</v>
      </c>
      <c r="B25" s="14"/>
      <c r="C25" s="16"/>
    </row>
    <row r="26" customFormat="false" ht="15" hidden="false" customHeight="false" outlineLevel="0" collapsed="false">
      <c r="A26" s="5" t="s">
        <v>41</v>
      </c>
      <c r="B26" s="14"/>
      <c r="C26" s="8"/>
    </row>
    <row r="27" customFormat="false" ht="15" hidden="false" customHeight="false" outlineLevel="0" collapsed="false">
      <c r="A27" s="5" t="s">
        <v>42</v>
      </c>
      <c r="B27" s="14"/>
      <c r="C27" s="8"/>
    </row>
    <row r="28" customFormat="false" ht="15" hidden="false" customHeight="false" outlineLevel="0" collapsed="false">
      <c r="A28" s="5" t="s">
        <v>43</v>
      </c>
      <c r="B28" s="14"/>
      <c r="C28" s="8"/>
    </row>
    <row r="29" customFormat="false" ht="15" hidden="false" customHeight="false" outlineLevel="0" collapsed="false">
      <c r="A29" s="9" t="s">
        <v>44</v>
      </c>
      <c r="B29" s="10"/>
      <c r="C29" s="11" t="n">
        <f aca="false">C23*C24*C25</f>
        <v>0</v>
      </c>
    </row>
    <row r="30" customFormat="false" ht="15" hidden="false" customHeight="false" outlineLevel="0" collapsed="false">
      <c r="A30" s="9" t="s">
        <v>45</v>
      </c>
      <c r="B30" s="10"/>
      <c r="C30" s="11" t="n">
        <f aca="false">SUM(C26:C28)</f>
        <v>0</v>
      </c>
    </row>
    <row r="31" customFormat="false" ht="15" hidden="false" customHeight="false" outlineLevel="0" collapsed="false">
      <c r="A31" s="9" t="s">
        <v>46</v>
      </c>
      <c r="B31" s="10"/>
      <c r="C31" s="17" t="str">
        <f aca="false">IF(C30=0,"",C29/C30)</f>
        <v/>
      </c>
    </row>
  </sheetData>
  <mergeCells count="2">
    <mergeCell ref="A4:C4"/>
    <mergeCell ref="A22:C22"/>
  </mergeCells>
  <printOptions headings="false" gridLines="false" gridLinesSet="true" horizontalCentered="true" verticalCentered="false"/>
  <pageMargins left="0.4" right="0.4" top="1" bottom="1" header="0.511811023622047" footer="0.5"/>
  <pageSetup paperSize="9" scale="100" fitToWidth="1" fitToHeight="1" pageOrder="downThenOver" orientation="portrait" blackAndWhite="false" draft="false" cellComments="none" horizontalDpi="300" verticalDpi="300" copies="1"/>
  <headerFooter differentFirst="false" differentOddEven="false">
    <oddHeader/>
    <oddFooter>&amp;C&amp;8 CADE / CCIAK · Yokkute PME · page &amp;P /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5" min="2" style="0" width="14"/>
  </cols>
  <sheetData>
    <row r="1" customFormat="false" ht="18.55" hidden="false" customHeight="false" outlineLevel="0" collapsed="false">
      <c r="A1" s="1" t="s">
        <v>47</v>
      </c>
    </row>
    <row r="2" customFormat="false" ht="15" hidden="false" customHeight="false" outlineLevel="0" collapsed="false">
      <c r="A2" s="2" t="s">
        <v>48</v>
      </c>
    </row>
    <row r="4" customFormat="false" ht="15" hidden="false" customHeight="true" outlineLevel="0" collapsed="false">
      <c r="A4" s="6" t="s">
        <v>17</v>
      </c>
      <c r="B4" s="6"/>
      <c r="C4" s="6"/>
      <c r="D4" s="6"/>
      <c r="E4" s="6"/>
    </row>
    <row r="6" customFormat="false" ht="30" hidden="false" customHeight="true" outlineLevel="0" collapsed="false">
      <c r="A6" s="3" t="s">
        <v>49</v>
      </c>
      <c r="B6" s="3" t="s">
        <v>50</v>
      </c>
      <c r="C6" s="3" t="s">
        <v>51</v>
      </c>
      <c r="D6" s="3" t="s">
        <v>52</v>
      </c>
      <c r="E6" s="3" t="s">
        <v>53</v>
      </c>
    </row>
    <row r="7" customFormat="false" ht="27.75" hidden="false" customHeight="true" outlineLevel="0" collapsed="false">
      <c r="A7" s="5" t="s">
        <v>54</v>
      </c>
      <c r="B7" s="16" t="n">
        <v>2</v>
      </c>
      <c r="C7" s="18" t="n">
        <v>5</v>
      </c>
      <c r="D7" s="18" t="n">
        <v>4</v>
      </c>
      <c r="E7" s="18" t="n">
        <v>2</v>
      </c>
    </row>
    <row r="8" customFormat="false" ht="27.75" hidden="false" customHeight="true" outlineLevel="0" collapsed="false">
      <c r="A8" s="5" t="s">
        <v>55</v>
      </c>
      <c r="B8" s="16" t="n">
        <v>2</v>
      </c>
      <c r="C8" s="18" t="n">
        <v>5</v>
      </c>
      <c r="D8" s="18" t="n">
        <v>3</v>
      </c>
      <c r="E8" s="18" t="n">
        <v>1</v>
      </c>
    </row>
    <row r="9" customFormat="false" ht="27.75" hidden="false" customHeight="true" outlineLevel="0" collapsed="false">
      <c r="A9" s="5" t="s">
        <v>56</v>
      </c>
      <c r="B9" s="16" t="n">
        <v>2</v>
      </c>
      <c r="C9" s="18"/>
      <c r="D9" s="18"/>
      <c r="E9" s="18"/>
    </row>
    <row r="10" customFormat="false" ht="27.75" hidden="false" customHeight="true" outlineLevel="0" collapsed="false">
      <c r="A10" s="5" t="s">
        <v>57</v>
      </c>
      <c r="B10" s="16" t="n">
        <v>2</v>
      </c>
      <c r="C10" s="18" t="n">
        <v>2</v>
      </c>
      <c r="D10" s="18" t="n">
        <v>2</v>
      </c>
      <c r="E10" s="18" t="n">
        <v>5</v>
      </c>
    </row>
    <row r="11" customFormat="false" ht="27.75" hidden="false" customHeight="true" outlineLevel="0" collapsed="false">
      <c r="A11" s="5" t="s">
        <v>58</v>
      </c>
      <c r="B11" s="16" t="n">
        <v>2</v>
      </c>
      <c r="C11" s="18" t="n">
        <v>3</v>
      </c>
      <c r="D11" s="18" t="n">
        <v>3</v>
      </c>
      <c r="E11" s="18" t="n">
        <v>5</v>
      </c>
    </row>
    <row r="12" customFormat="false" ht="27.75" hidden="false" customHeight="true" outlineLevel="0" collapsed="false">
      <c r="A12" s="5" t="s">
        <v>59</v>
      </c>
      <c r="B12" s="16" t="n">
        <v>2</v>
      </c>
      <c r="C12" s="18" t="n">
        <v>5</v>
      </c>
      <c r="D12" s="18" t="n">
        <v>4</v>
      </c>
      <c r="E12" s="18" t="n">
        <v>2</v>
      </c>
    </row>
    <row r="13" customFormat="false" ht="15" hidden="false" customHeight="false" outlineLevel="0" collapsed="false">
      <c r="A13" s="9" t="s">
        <v>60</v>
      </c>
      <c r="B13" s="10"/>
      <c r="C13" s="11" t="n">
        <f aca="false">SUMPRODUCT($B$7:$B$12,C7:C12)</f>
        <v>40</v>
      </c>
      <c r="D13" s="11" t="n">
        <f aca="false">SUMPRODUCT($B$7:$B$12,D7:D12)</f>
        <v>32</v>
      </c>
      <c r="E13" s="11" t="n">
        <f aca="false">SUMPRODUCT($B$7:$B$12,E7:E12)</f>
        <v>30</v>
      </c>
    </row>
    <row r="14" customFormat="false" ht="15" hidden="false" customHeight="false" outlineLevel="0" collapsed="false">
      <c r="A14" s="4" t="s">
        <v>61</v>
      </c>
      <c r="C14" s="19" t="str">
        <f aca="false">IF(MAX(C13:E13)=0,"",INDEX($C$6:$E$6,MATCH(MAX(C13:E13),C13:E13,0)))</f>
        <v>EI</v>
      </c>
      <c r="D14" s="19"/>
      <c r="E14" s="19"/>
    </row>
    <row r="16" customFormat="false" ht="54" hidden="false" customHeight="true" outlineLevel="0" collapsed="false">
      <c r="A16" s="6" t="s">
        <v>62</v>
      </c>
      <c r="B16" s="6"/>
      <c r="C16" s="6"/>
      <c r="D16" s="6"/>
      <c r="E16" s="6"/>
    </row>
    <row r="18" customFormat="false" ht="30" hidden="false" customHeight="true" outlineLevel="0" collapsed="false">
      <c r="A18" s="3" t="s">
        <v>63</v>
      </c>
      <c r="B18" s="3"/>
      <c r="C18" s="3" t="s">
        <v>51</v>
      </c>
      <c r="D18" s="3" t="s">
        <v>52</v>
      </c>
      <c r="E18" s="3" t="s">
        <v>53</v>
      </c>
    </row>
    <row r="19" customFormat="false" ht="48" hidden="false" customHeight="true" outlineLevel="0" collapsed="false">
      <c r="A19" s="4" t="s">
        <v>64</v>
      </c>
      <c r="B19" s="4"/>
      <c r="C19" s="20" t="s">
        <v>65</v>
      </c>
      <c r="D19" s="20" t="s">
        <v>65</v>
      </c>
      <c r="E19" s="20" t="s">
        <v>66</v>
      </c>
    </row>
    <row r="20" customFormat="false" ht="48" hidden="false" customHeight="true" outlineLevel="0" collapsed="false">
      <c r="A20" s="4" t="s">
        <v>67</v>
      </c>
      <c r="B20" s="4"/>
      <c r="C20" s="20" t="s">
        <v>68</v>
      </c>
      <c r="D20" s="20" t="s">
        <v>69</v>
      </c>
      <c r="E20" s="20" t="s">
        <v>70</v>
      </c>
    </row>
    <row r="21" customFormat="false" ht="48" hidden="false" customHeight="true" outlineLevel="0" collapsed="false">
      <c r="A21" s="4" t="s">
        <v>71</v>
      </c>
      <c r="B21" s="4"/>
      <c r="C21" s="20" t="s">
        <v>72</v>
      </c>
      <c r="D21" s="20" t="s">
        <v>72</v>
      </c>
      <c r="E21" s="20" t="s">
        <v>73</v>
      </c>
    </row>
    <row r="22" customFormat="false" ht="48" hidden="false" customHeight="true" outlineLevel="0" collapsed="false">
      <c r="A22" s="4" t="s">
        <v>74</v>
      </c>
      <c r="B22" s="4"/>
      <c r="C22" s="20" t="s">
        <v>75</v>
      </c>
      <c r="D22" s="20" t="s">
        <v>76</v>
      </c>
      <c r="E22" s="20" t="s">
        <v>77</v>
      </c>
    </row>
  </sheetData>
  <mergeCells count="8">
    <mergeCell ref="A4:E4"/>
    <mergeCell ref="C14:E14"/>
    <mergeCell ref="A16:E16"/>
    <mergeCell ref="A18:B18"/>
    <mergeCell ref="A19:B19"/>
    <mergeCell ref="A20:B20"/>
    <mergeCell ref="A21:B21"/>
    <mergeCell ref="A22:B22"/>
  </mergeCells>
  <dataValidations count="2">
    <dataValidation allowBlank="true" errorStyle="stop" operator="between" showDropDown="false" showErrorMessage="false" showInputMessage="false" sqref="B7:B12" type="whole">
      <formula1>1</formula1>
      <formula2>3</formula2>
    </dataValidation>
    <dataValidation allowBlank="true" errorStyle="stop" operator="between" showDropDown="false" showErrorMessage="false" showInputMessage="false" sqref="C7:E12" type="whole">
      <formula1>1</formula1>
      <formula2>5</formula2>
    </dataValidation>
  </dataValidations>
  <printOptions headings="false" gridLines="false" gridLinesSet="true" horizontalCentered="true" verticalCentered="false"/>
  <pageMargins left="0.4" right="0.4" top="1" bottom="1" header="0.511811023622047" footer="0.5"/>
  <pageSetup paperSize="9" scale="100" fitToWidth="1" fitToHeight="1" pageOrder="downThenOver" orientation="portrait" blackAndWhite="false" draft="false" cellComments="none" horizontalDpi="300" verticalDpi="300" copies="1"/>
  <headerFooter differentFirst="false" differentOddEven="false">
    <oddHeader/>
    <oddFooter>&amp;C&amp;8 CADE / CCIAK · Yokkute PME · page &amp;P /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9"/>
    <col collapsed="false" customWidth="true" hidden="false" outlineLevel="0" max="3" min="3" style="0" width="14"/>
    <col collapsed="false" customWidth="true" hidden="false" outlineLevel="0" max="4" min="4" style="0" width="12"/>
    <col collapsed="false" customWidth="true" hidden="false" outlineLevel="0" max="5" min="5" style="0" width="16"/>
    <col collapsed="false" customWidth="true" hidden="false" outlineLevel="0" max="6" min="6" style="0" width="30"/>
  </cols>
  <sheetData>
    <row r="1" customFormat="false" ht="18.55" hidden="false" customHeight="false" outlineLevel="0" collapsed="false">
      <c r="A1" s="1" t="s">
        <v>78</v>
      </c>
    </row>
    <row r="2" customFormat="false" ht="15" hidden="false" customHeight="false" outlineLevel="0" collapsed="false">
      <c r="A2" s="2" t="s">
        <v>79</v>
      </c>
    </row>
    <row r="4" customFormat="false" ht="15" hidden="false" customHeight="false" outlineLevel="0" collapsed="false">
      <c r="A4" s="21" t="s">
        <v>80</v>
      </c>
      <c r="C4" s="22" t="s">
        <v>51</v>
      </c>
    </row>
    <row r="5" customFormat="false" ht="15" hidden="false" customHeight="false" outlineLevel="0" collapsed="false">
      <c r="A5" s="21" t="s">
        <v>81</v>
      </c>
      <c r="C5" s="22" t="s">
        <v>65</v>
      </c>
    </row>
    <row r="6" customFormat="false" ht="15" hidden="false" customHeight="true" outlineLevel="0" collapsed="false">
      <c r="A6" s="6" t="s">
        <v>17</v>
      </c>
      <c r="B6" s="6"/>
      <c r="C6" s="6"/>
      <c r="D6" s="6"/>
      <c r="E6" s="6"/>
      <c r="F6" s="6"/>
    </row>
    <row r="8" customFormat="false" ht="30" hidden="false" customHeight="true" outlineLevel="0" collapsed="false">
      <c r="A8" s="3" t="s">
        <v>82</v>
      </c>
      <c r="B8" s="3" t="s">
        <v>83</v>
      </c>
      <c r="C8" s="3" t="s">
        <v>84</v>
      </c>
      <c r="D8" s="3" t="s">
        <v>85</v>
      </c>
      <c r="E8" s="3" t="s">
        <v>86</v>
      </c>
      <c r="F8" s="3" t="s">
        <v>87</v>
      </c>
    </row>
    <row r="9" customFormat="false" ht="30" hidden="false" customHeight="true" outlineLevel="0" collapsed="false">
      <c r="A9" s="5" t="s">
        <v>88</v>
      </c>
      <c r="B9" s="23" t="s">
        <v>89</v>
      </c>
      <c r="C9" s="24" t="str">
        <f aca="false">IF(B9="Option",IF($C$5="Oui","Oui","Non"),IF(OR(B9="Toutes",B9=$C$4),"Oui","Non"))</f>
        <v>Oui</v>
      </c>
      <c r="D9" s="22" t="s">
        <v>90</v>
      </c>
      <c r="E9" s="8" t="n">
        <v>0</v>
      </c>
      <c r="F9" s="20" t="s">
        <v>91</v>
      </c>
    </row>
    <row r="10" customFormat="false" ht="30" hidden="false" customHeight="true" outlineLevel="0" collapsed="false">
      <c r="A10" s="5" t="s">
        <v>92</v>
      </c>
      <c r="B10" s="23" t="s">
        <v>89</v>
      </c>
      <c r="C10" s="24" t="str">
        <f aca="false">IF(B10="Option",IF($C$5="Oui","Oui","Non"),IF(OR(B10="Toutes",B10=$C$4),"Oui","Non"))</f>
        <v>Oui</v>
      </c>
      <c r="D10" s="22"/>
      <c r="E10" s="8" t="n">
        <v>1000</v>
      </c>
      <c r="F10" s="20" t="s">
        <v>93</v>
      </c>
    </row>
    <row r="11" customFormat="false" ht="30" hidden="false" customHeight="true" outlineLevel="0" collapsed="false">
      <c r="A11" s="5" t="s">
        <v>94</v>
      </c>
      <c r="B11" s="23" t="s">
        <v>89</v>
      </c>
      <c r="C11" s="24" t="str">
        <f aca="false">IF(B11="Option",IF($C$5="Oui","Oui","Non"),IF(OR(B11="Toutes",B11=$C$4),"Oui","Non"))</f>
        <v>Oui</v>
      </c>
      <c r="D11" s="22"/>
      <c r="E11" s="8" t="n">
        <v>0</v>
      </c>
      <c r="F11" s="20" t="s">
        <v>95</v>
      </c>
    </row>
    <row r="12" customFormat="false" ht="30" hidden="false" customHeight="true" outlineLevel="0" collapsed="false">
      <c r="A12" s="5" t="s">
        <v>96</v>
      </c>
      <c r="B12" s="23" t="s">
        <v>89</v>
      </c>
      <c r="C12" s="24" t="str">
        <f aca="false">IF(B12="Option",IF($C$5="Oui","Oui","Non"),IF(OR(B12="Toutes",B12=$C$4),"Oui","Non"))</f>
        <v>Oui</v>
      </c>
      <c r="D12" s="22"/>
      <c r="E12" s="8" t="n">
        <v>0</v>
      </c>
      <c r="F12" s="20" t="s">
        <v>97</v>
      </c>
    </row>
    <row r="13" customFormat="false" ht="30" hidden="false" customHeight="true" outlineLevel="0" collapsed="false">
      <c r="A13" s="5" t="s">
        <v>98</v>
      </c>
      <c r="B13" s="23" t="s">
        <v>89</v>
      </c>
      <c r="C13" s="24" t="str">
        <f aca="false">IF(B13="Option",IF($C$5="Oui","Oui","Non"),IF(OR(B13="Toutes",B13=$C$4),"Oui","Non"))</f>
        <v>Oui</v>
      </c>
      <c r="D13" s="22"/>
      <c r="E13" s="8" t="n">
        <v>4000</v>
      </c>
      <c r="F13" s="20" t="s">
        <v>99</v>
      </c>
    </row>
    <row r="14" customFormat="false" ht="30" hidden="false" customHeight="true" outlineLevel="0" collapsed="false">
      <c r="A14" s="5" t="s">
        <v>100</v>
      </c>
      <c r="B14" s="23" t="s">
        <v>51</v>
      </c>
      <c r="C14" s="24" t="str">
        <f aca="false">IF(B14="Option",IF($C$5="Oui","Oui","Non"),IF(OR(B14="Toutes",B14=$C$4),"Oui","Non"))</f>
        <v>Oui</v>
      </c>
      <c r="D14" s="22"/>
      <c r="E14" s="8" t="n">
        <v>10000</v>
      </c>
      <c r="F14" s="20" t="s">
        <v>101</v>
      </c>
    </row>
    <row r="15" customFormat="false" ht="30" hidden="false" customHeight="true" outlineLevel="0" collapsed="false">
      <c r="A15" s="5" t="s">
        <v>102</v>
      </c>
      <c r="B15" s="23" t="s">
        <v>103</v>
      </c>
      <c r="C15" s="24" t="str">
        <f aca="false">IF(B15="Option",IF($C$5="Oui","Oui","Non"),IF(OR(B15="Toutes",B15=$C$4),"Oui","Non"))</f>
        <v>Non</v>
      </c>
      <c r="D15" s="22"/>
      <c r="E15" s="8" t="n">
        <v>11000</v>
      </c>
      <c r="F15" s="20" t="s">
        <v>101</v>
      </c>
    </row>
    <row r="16" customFormat="false" ht="30" hidden="false" customHeight="true" outlineLevel="0" collapsed="false">
      <c r="A16" s="5" t="s">
        <v>104</v>
      </c>
      <c r="B16" s="23" t="s">
        <v>52</v>
      </c>
      <c r="C16" s="24" t="str">
        <f aca="false">IF(B16="Option",IF($C$5="Oui","Oui","Non"),IF(OR(B16="Toutes",B16=$C$4),"Oui","Non"))</f>
        <v>Non</v>
      </c>
      <c r="D16" s="22"/>
      <c r="E16" s="8" t="n">
        <v>0</v>
      </c>
      <c r="F16" s="20" t="s">
        <v>105</v>
      </c>
    </row>
    <row r="17" customFormat="false" ht="30" hidden="false" customHeight="true" outlineLevel="0" collapsed="false">
      <c r="A17" s="5" t="s">
        <v>106</v>
      </c>
      <c r="B17" s="23" t="s">
        <v>52</v>
      </c>
      <c r="C17" s="24" t="str">
        <f aca="false">IF(B17="Option",IF($C$5="Oui","Oui","Non"),IF(OR(B17="Toutes",B17=$C$4),"Oui","Non"))</f>
        <v>Non</v>
      </c>
      <c r="D17" s="22"/>
      <c r="E17" s="8" t="n">
        <v>0</v>
      </c>
      <c r="F17" s="20" t="s">
        <v>107</v>
      </c>
    </row>
    <row r="18" customFormat="false" ht="30" hidden="false" customHeight="true" outlineLevel="0" collapsed="false">
      <c r="A18" s="5" t="s">
        <v>108</v>
      </c>
      <c r="B18" s="23" t="s">
        <v>52</v>
      </c>
      <c r="C18" s="24" t="str">
        <f aca="false">IF(B18="Option",IF($C$5="Oui","Oui","Non"),IF(OR(B18="Toutes",B18=$C$4),"Oui","Non"))</f>
        <v>Non</v>
      </c>
      <c r="D18" s="22"/>
      <c r="E18" s="8" t="n">
        <v>52000</v>
      </c>
      <c r="F18" s="20" t="s">
        <v>101</v>
      </c>
    </row>
    <row r="19" customFormat="false" ht="30" hidden="false" customHeight="true" outlineLevel="0" collapsed="false">
      <c r="A19" s="5" t="s">
        <v>109</v>
      </c>
      <c r="B19" s="23" t="s">
        <v>53</v>
      </c>
      <c r="C19" s="24" t="str">
        <f aca="false">IF(B19="Option",IF($C$5="Oui","Oui","Non"),IF(OR(B19="Toutes",B19=$C$4),"Oui","Non"))</f>
        <v>Non</v>
      </c>
      <c r="D19" s="22"/>
      <c r="E19" s="8"/>
      <c r="F19" s="20" t="s">
        <v>110</v>
      </c>
    </row>
    <row r="20" customFormat="false" ht="30" hidden="false" customHeight="true" outlineLevel="0" collapsed="false">
      <c r="A20" s="5" t="s">
        <v>111</v>
      </c>
      <c r="B20" s="23" t="s">
        <v>53</v>
      </c>
      <c r="C20" s="24" t="str">
        <f aca="false">IF(B20="Option",IF($C$5="Oui","Oui","Non"),IF(OR(B20="Toutes",B20=$C$4),"Oui","Non"))</f>
        <v>Non</v>
      </c>
      <c r="D20" s="22"/>
      <c r="E20" s="8"/>
      <c r="F20" s="20" t="s">
        <v>112</v>
      </c>
    </row>
    <row r="21" customFormat="false" ht="30" hidden="false" customHeight="true" outlineLevel="0" collapsed="false">
      <c r="A21" s="5" t="s">
        <v>113</v>
      </c>
      <c r="B21" s="23" t="s">
        <v>53</v>
      </c>
      <c r="C21" s="24" t="str">
        <f aca="false">IF(B21="Option",IF($C$5="Oui","Oui","Non"),IF(OR(B21="Toutes",B21=$C$4),"Oui","Non"))</f>
        <v>Non</v>
      </c>
      <c r="D21" s="22"/>
      <c r="E21" s="8"/>
      <c r="F21" s="20" t="s">
        <v>114</v>
      </c>
    </row>
    <row r="23" customFormat="false" ht="15" hidden="false" customHeight="false" outlineLevel="0" collapsed="false">
      <c r="A23" s="9" t="s">
        <v>115</v>
      </c>
      <c r="B23" s="10"/>
      <c r="C23" s="10"/>
      <c r="D23" s="10"/>
      <c r="E23" s="25" t="n">
        <f aca="false">COUNTIF(C9:C21,"Oui")</f>
        <v>6</v>
      </c>
    </row>
    <row r="24" customFormat="false" ht="15" hidden="false" customHeight="false" outlineLevel="0" collapsed="false">
      <c r="A24" s="9" t="s">
        <v>116</v>
      </c>
      <c r="B24" s="10"/>
      <c r="C24" s="10"/>
      <c r="D24" s="10"/>
      <c r="E24" s="25" t="n">
        <f aca="false">COUNTIFS(C9:C21,"Oui",D9:D21,"&lt;&gt;Oui")</f>
        <v>5</v>
      </c>
    </row>
    <row r="25" customFormat="false" ht="15" hidden="false" customHeight="false" outlineLevel="0" collapsed="false">
      <c r="A25" s="9" t="s">
        <v>117</v>
      </c>
      <c r="B25" s="10"/>
      <c r="C25" s="10"/>
      <c r="D25" s="10"/>
      <c r="E25" s="11" t="n">
        <f aca="false">SUMIFS(E9:E21,C9:C21,"Oui")</f>
        <v>15000</v>
      </c>
    </row>
    <row r="27" customFormat="false" ht="30" hidden="false" customHeight="true" outlineLevel="0" collapsed="false">
      <c r="A27" s="6" t="s">
        <v>118</v>
      </c>
      <c r="B27" s="6"/>
      <c r="C27" s="6"/>
      <c r="D27" s="6"/>
      <c r="E27" s="6"/>
      <c r="F27" s="6"/>
    </row>
  </sheetData>
  <mergeCells count="2">
    <mergeCell ref="A6:F6"/>
    <mergeCell ref="A27:F27"/>
  </mergeCells>
  <dataValidations count="2">
    <dataValidation allowBlank="true" errorStyle="stop" operator="between" showDropDown="false" showErrorMessage="false" showInputMessage="false" sqref="C4" type="list">
      <formula1>"EI,GIE,SARL"</formula1>
      <formula2>0</formula2>
    </dataValidation>
    <dataValidation allowBlank="true" errorStyle="stop" operator="between" showDropDown="false" showErrorMessage="false" showInputMessage="false" sqref="C5 D9:D21" type="list">
      <formula1>"Oui,Non"</formula1>
      <formula2>0</formula2>
    </dataValidation>
  </dataValidations>
  <printOptions headings="false" gridLines="false" gridLinesSet="true" horizontalCentered="true" verticalCentered="false"/>
  <pageMargins left="0.4" right="0.4"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&amp;C&amp;8 CADE / CCIAK · Yokkute PME · page &amp;P /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52"/>
    <col collapsed="false" customWidth="true" hidden="false" outlineLevel="0" max="4" min="3" style="0" width="14"/>
    <col collapsed="false" customWidth="true" hidden="false" outlineLevel="0" max="5" min="5" style="0" width="13"/>
    <col collapsed="false" customWidth="true" hidden="false" outlineLevel="0" max="6" min="6" style="0" width="32"/>
  </cols>
  <sheetData>
    <row r="1" customFormat="false" ht="18.55" hidden="false" customHeight="false" outlineLevel="0" collapsed="false">
      <c r="A1" s="1" t="s">
        <v>119</v>
      </c>
    </row>
    <row r="2" customFormat="false" ht="15" hidden="false" customHeight="false" outlineLevel="0" collapsed="false">
      <c r="A2" s="2" t="s">
        <v>120</v>
      </c>
    </row>
    <row r="4" customFormat="false" ht="15" hidden="false" customHeight="false" outlineLevel="0" collapsed="false">
      <c r="A4" s="21" t="s">
        <v>121</v>
      </c>
      <c r="B4" s="21"/>
      <c r="C4" s="22"/>
      <c r="D4" s="22"/>
      <c r="E4" s="22"/>
      <c r="F4" s="22"/>
    </row>
    <row r="5" customFormat="false" ht="15" hidden="false" customHeight="true" outlineLevel="0" collapsed="false">
      <c r="A5" s="6" t="s">
        <v>17</v>
      </c>
      <c r="B5" s="6"/>
      <c r="C5" s="6"/>
      <c r="D5" s="6"/>
      <c r="E5" s="6"/>
      <c r="F5" s="6"/>
    </row>
    <row r="7" customFormat="false" ht="30" hidden="false" customHeight="true" outlineLevel="0" collapsed="false">
      <c r="A7" s="3" t="s">
        <v>122</v>
      </c>
      <c r="B7" s="3" t="s">
        <v>123</v>
      </c>
      <c r="C7" s="3" t="s">
        <v>124</v>
      </c>
      <c r="D7" s="3" t="s">
        <v>125</v>
      </c>
      <c r="E7" s="3" t="s">
        <v>126</v>
      </c>
      <c r="F7" s="3" t="s">
        <v>127</v>
      </c>
    </row>
    <row r="8" customFormat="false" ht="30" hidden="false" customHeight="true" outlineLevel="0" collapsed="false">
      <c r="A8" s="23" t="n">
        <v>1</v>
      </c>
      <c r="B8" s="5" t="s">
        <v>128</v>
      </c>
      <c r="C8" s="26" t="n">
        <v>46332</v>
      </c>
      <c r="D8" s="26"/>
      <c r="E8" s="19" t="str">
        <f aca="true">IF(D8&lt;&gt;"","Fait",IF(C8="","",IF(C8&lt;TODAY(),"En retard","À venir")))</f>
        <v>À venir</v>
      </c>
      <c r="F8" s="7" t="s">
        <v>129</v>
      </c>
    </row>
    <row r="9" customFormat="false" ht="30" hidden="false" customHeight="true" outlineLevel="0" collapsed="false">
      <c r="A9" s="23" t="n">
        <v>2</v>
      </c>
      <c r="B9" s="5" t="s">
        <v>130</v>
      </c>
      <c r="C9" s="26"/>
      <c r="D9" s="26"/>
      <c r="E9" s="19" t="str">
        <f aca="true">IF(D9&lt;&gt;"","Fait",IF(C9="","",IF(C9&lt;TODAY(),"En retard","À venir")))</f>
        <v/>
      </c>
      <c r="F9" s="7"/>
    </row>
    <row r="10" customFormat="false" ht="30" hidden="false" customHeight="true" outlineLevel="0" collapsed="false">
      <c r="A10" s="23" t="n">
        <v>3</v>
      </c>
      <c r="B10" s="5" t="s">
        <v>131</v>
      </c>
      <c r="C10" s="26"/>
      <c r="D10" s="26"/>
      <c r="E10" s="19" t="str">
        <f aca="true">IF(D10&lt;&gt;"","Fait",IF(C10="","",IF(C10&lt;TODAY(),"En retard","À venir")))</f>
        <v/>
      </c>
      <c r="F10" s="7"/>
    </row>
    <row r="11" customFormat="false" ht="30" hidden="false" customHeight="true" outlineLevel="0" collapsed="false">
      <c r="A11" s="23" t="n">
        <v>4</v>
      </c>
      <c r="B11" s="5" t="s">
        <v>132</v>
      </c>
      <c r="C11" s="26"/>
      <c r="D11" s="26"/>
      <c r="E11" s="19" t="str">
        <f aca="true">IF(D11&lt;&gt;"","Fait",IF(C11="","",IF(C11&lt;TODAY(),"En retard","À venir")))</f>
        <v/>
      </c>
      <c r="F11" s="7"/>
    </row>
    <row r="12" customFormat="false" ht="30" hidden="false" customHeight="true" outlineLevel="0" collapsed="false">
      <c r="A12" s="23" t="n">
        <v>5</v>
      </c>
      <c r="B12" s="5" t="s">
        <v>133</v>
      </c>
      <c r="C12" s="26"/>
      <c r="D12" s="26"/>
      <c r="E12" s="19" t="str">
        <f aca="true">IF(D12&lt;&gt;"","Fait",IF(C12="","",IF(C12&lt;TODAY(),"En retard","À venir")))</f>
        <v/>
      </c>
      <c r="F12" s="7"/>
    </row>
    <row r="13" customFormat="false" ht="30" hidden="false" customHeight="true" outlineLevel="0" collapsed="false">
      <c r="A13" s="23" t="n">
        <v>6</v>
      </c>
      <c r="B13" s="5" t="s">
        <v>134</v>
      </c>
      <c r="C13" s="26"/>
      <c r="D13" s="26"/>
      <c r="E13" s="19" t="str">
        <f aca="true">IF(D13&lt;&gt;"","Fait",IF(C13="","",IF(C13&lt;TODAY(),"En retard","À venir")))</f>
        <v/>
      </c>
      <c r="F13" s="7"/>
    </row>
    <row r="14" customFormat="false" ht="30" hidden="false" customHeight="true" outlineLevel="0" collapsed="false">
      <c r="A14" s="23" t="n">
        <v>7</v>
      </c>
      <c r="B14" s="5" t="s">
        <v>135</v>
      </c>
      <c r="C14" s="26"/>
      <c r="D14" s="26"/>
      <c r="E14" s="19" t="str">
        <f aca="true">IF(D14&lt;&gt;"","Fait",IF(C14="","",IF(C14&lt;TODAY(),"En retard","À venir")))</f>
        <v/>
      </c>
      <c r="F14" s="7"/>
    </row>
    <row r="15" customFormat="false" ht="30" hidden="false" customHeight="true" outlineLevel="0" collapsed="false">
      <c r="A15" s="23" t="n">
        <v>8</v>
      </c>
      <c r="B15" s="5" t="s">
        <v>136</v>
      </c>
      <c r="C15" s="26"/>
      <c r="D15" s="26"/>
      <c r="E15" s="19" t="str">
        <f aca="true">IF(D15&lt;&gt;"","Fait",IF(C15="","",IF(C15&lt;TODAY(),"En retard","À venir")))</f>
        <v/>
      </c>
      <c r="F15" s="7"/>
    </row>
    <row r="16" customFormat="false" ht="30" hidden="false" customHeight="true" outlineLevel="0" collapsed="false">
      <c r="A16" s="23" t="n">
        <v>9</v>
      </c>
      <c r="B16" s="5" t="s">
        <v>137</v>
      </c>
      <c r="C16" s="26"/>
      <c r="D16" s="26"/>
      <c r="E16" s="19" t="str">
        <f aca="true">IF(D16&lt;&gt;"","Fait",IF(C16="","",IF(C16&lt;TODAY(),"En retard","À venir")))</f>
        <v/>
      </c>
      <c r="F16" s="7"/>
    </row>
    <row r="18" customFormat="false" ht="15" hidden="false" customHeight="false" outlineLevel="0" collapsed="false">
      <c r="B18" s="9" t="s">
        <v>138</v>
      </c>
      <c r="E18" s="27" t="str">
        <f aca="false">COUNTIF(E8:E16,"Fait")&amp;" / 9"</f>
        <v>0 / 9</v>
      </c>
    </row>
  </sheetData>
  <mergeCells count="3">
    <mergeCell ref="A4:B4"/>
    <mergeCell ref="C4:F4"/>
    <mergeCell ref="A5:F5"/>
  </mergeCells>
  <conditionalFormatting sqref="E8:E16">
    <cfRule type="expression" priority="2" aboveAverage="0" equalAverage="0" bottom="0" percent="0" rank="0" text="" dxfId="0">
      <formula>E8="En retard"</formula>
    </cfRule>
    <cfRule type="expression" priority="3" aboveAverage="0" equalAverage="0" bottom="0" percent="0" rank="0" text="" dxfId="1">
      <formula>E8="Fait"</formula>
    </cfRule>
  </conditionalFormatting>
  <printOptions headings="false" gridLines="false" gridLinesSet="true" horizontalCentered="true" verticalCentered="false"/>
  <pageMargins left="0.4" right="0.4"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&amp;C&amp;8 CADE / CCIAK · Yokkute PME · page &amp;P /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24"/>
    <col collapsed="false" customWidth="true" hidden="false" outlineLevel="0" max="3" min="3" style="0" width="20"/>
    <col collapsed="false" customWidth="true" hidden="false" outlineLevel="0" max="5" min="4" style="0" width="14"/>
  </cols>
  <sheetData>
    <row r="1" customFormat="false" ht="18.55" hidden="false" customHeight="false" outlineLevel="0" collapsed="false">
      <c r="A1" s="1" t="s">
        <v>139</v>
      </c>
    </row>
    <row r="2" customFormat="false" ht="15" hidden="false" customHeight="false" outlineLevel="0" collapsed="false">
      <c r="A2" s="2" t="s">
        <v>140</v>
      </c>
    </row>
    <row r="4" customFormat="false" ht="96" hidden="false" customHeight="true" outlineLevel="0" collapsed="false">
      <c r="A4" s="28" t="s">
        <v>141</v>
      </c>
      <c r="B4" s="28"/>
      <c r="C4" s="28"/>
      <c r="D4" s="28"/>
      <c r="E4" s="28"/>
    </row>
    <row r="6" customFormat="false" ht="15" hidden="false" customHeight="true" outlineLevel="0" collapsed="false">
      <c r="A6" s="13" t="s">
        <v>142</v>
      </c>
      <c r="B6" s="13"/>
      <c r="C6" s="13"/>
      <c r="D6" s="13"/>
      <c r="E6" s="13"/>
    </row>
    <row r="7" customFormat="false" ht="15" hidden="false" customHeight="false" outlineLevel="0" collapsed="false">
      <c r="A7" s="23" t="s">
        <v>143</v>
      </c>
      <c r="C7" s="8" t="n">
        <v>1800000</v>
      </c>
    </row>
    <row r="8" customFormat="false" ht="15" hidden="false" customHeight="false" outlineLevel="0" collapsed="false">
      <c r="A8" s="23" t="s">
        <v>144</v>
      </c>
      <c r="C8" s="16" t="n">
        <v>6</v>
      </c>
    </row>
    <row r="9" customFormat="false" ht="15" hidden="false" customHeight="false" outlineLevel="0" collapsed="false">
      <c r="A9" s="23" t="s">
        <v>145</v>
      </c>
      <c r="C9" s="15" t="n">
        <v>0.35</v>
      </c>
    </row>
    <row r="10" customFormat="false" ht="15" hidden="false" customHeight="false" outlineLevel="0" collapsed="false">
      <c r="A10" s="23" t="s">
        <v>146</v>
      </c>
      <c r="C10" s="8" t="n">
        <v>21000</v>
      </c>
    </row>
    <row r="11" customFormat="false" ht="15" hidden="false" customHeight="false" outlineLevel="0" collapsed="false">
      <c r="A11" s="23" t="s">
        <v>42</v>
      </c>
      <c r="C11" s="8" t="n">
        <v>4000</v>
      </c>
    </row>
    <row r="12" customFormat="false" ht="15" hidden="false" customHeight="false" outlineLevel="0" collapsed="false">
      <c r="A12" s="23" t="s">
        <v>147</v>
      </c>
      <c r="C12" s="8" t="n">
        <v>6000</v>
      </c>
    </row>
    <row r="13" customFormat="false" ht="15" hidden="false" customHeight="false" outlineLevel="0" collapsed="false">
      <c r="A13" s="9" t="s">
        <v>148</v>
      </c>
      <c r="C13" s="11" t="n">
        <f aca="false">C7/C8</f>
        <v>300000</v>
      </c>
    </row>
    <row r="14" customFormat="false" ht="15" hidden="false" customHeight="false" outlineLevel="0" collapsed="false">
      <c r="A14" s="9" t="s">
        <v>149</v>
      </c>
      <c r="C14" s="11" t="n">
        <f aca="false">C13*C9</f>
        <v>105000</v>
      </c>
    </row>
    <row r="15" customFormat="false" ht="15" hidden="false" customHeight="false" outlineLevel="0" collapsed="false">
      <c r="A15" s="9" t="s">
        <v>150</v>
      </c>
      <c r="C15" s="11" t="n">
        <f aca="false">C14*C8</f>
        <v>630000</v>
      </c>
    </row>
    <row r="16" customFormat="false" ht="15" hidden="false" customHeight="false" outlineLevel="0" collapsed="false">
      <c r="A16" s="9" t="s">
        <v>151</v>
      </c>
      <c r="C16" s="11" t="n">
        <f aca="false">SUM(C10:C12)</f>
        <v>31000</v>
      </c>
    </row>
    <row r="17" customFormat="false" ht="15" hidden="false" customHeight="false" outlineLevel="0" collapsed="false">
      <c r="A17" s="9" t="s">
        <v>152</v>
      </c>
      <c r="C17" s="17" t="n">
        <f aca="false">C15/C16</f>
        <v>20.3225806451613</v>
      </c>
    </row>
    <row r="18" customFormat="false" ht="15" hidden="false" customHeight="false" outlineLevel="0" collapsed="false">
      <c r="A18" s="23" t="s">
        <v>153</v>
      </c>
      <c r="C18" s="8" t="n">
        <v>1500000</v>
      </c>
      <c r="D18" s="8" t="n">
        <v>300000</v>
      </c>
    </row>
    <row r="19" customFormat="false" ht="15" hidden="false" customHeight="false" outlineLevel="0" collapsed="false">
      <c r="A19" s="9" t="s">
        <v>154</v>
      </c>
      <c r="C19" s="11" t="n">
        <f aca="false">C18-D18</f>
        <v>1200000</v>
      </c>
    </row>
    <row r="21" customFormat="false" ht="15" hidden="false" customHeight="true" outlineLevel="0" collapsed="false">
      <c r="A21" s="13" t="s">
        <v>155</v>
      </c>
      <c r="B21" s="13"/>
      <c r="C21" s="13"/>
      <c r="D21" s="13"/>
      <c r="E21" s="13"/>
    </row>
    <row r="22" customFormat="false" ht="30" hidden="false" customHeight="true" outlineLevel="0" collapsed="false">
      <c r="A22" s="3" t="s">
        <v>49</v>
      </c>
      <c r="B22" s="3" t="s">
        <v>50</v>
      </c>
      <c r="C22" s="3" t="s">
        <v>51</v>
      </c>
      <c r="D22" s="3" t="s">
        <v>52</v>
      </c>
      <c r="E22" s="3" t="s">
        <v>53</v>
      </c>
    </row>
    <row r="23" customFormat="false" ht="27.75" hidden="false" customHeight="true" outlineLevel="0" collapsed="false">
      <c r="A23" s="5" t="s">
        <v>54</v>
      </c>
      <c r="B23" s="16" t="n">
        <v>3</v>
      </c>
      <c r="C23" s="18" t="n">
        <v>5</v>
      </c>
      <c r="D23" s="18" t="n">
        <v>4</v>
      </c>
      <c r="E23" s="18" t="n">
        <v>2</v>
      </c>
    </row>
    <row r="24" customFormat="false" ht="27.75" hidden="false" customHeight="true" outlineLevel="0" collapsed="false">
      <c r="A24" s="5" t="s">
        <v>55</v>
      </c>
      <c r="B24" s="16" t="n">
        <v>3</v>
      </c>
      <c r="C24" s="18" t="n">
        <v>5</v>
      </c>
      <c r="D24" s="18" t="n">
        <v>3</v>
      </c>
      <c r="E24" s="18" t="n">
        <v>1</v>
      </c>
    </row>
    <row r="25" customFormat="false" ht="27.75" hidden="false" customHeight="true" outlineLevel="0" collapsed="false">
      <c r="A25" s="5" t="s">
        <v>56</v>
      </c>
      <c r="B25" s="16" t="n">
        <v>3</v>
      </c>
      <c r="C25" s="18" t="n">
        <v>5</v>
      </c>
      <c r="D25" s="18" t="n">
        <v>2</v>
      </c>
      <c r="E25" s="18" t="n">
        <v>3</v>
      </c>
    </row>
    <row r="26" customFormat="false" ht="27.75" hidden="false" customHeight="true" outlineLevel="0" collapsed="false">
      <c r="A26" s="5" t="s">
        <v>57</v>
      </c>
      <c r="B26" s="16" t="n">
        <v>1</v>
      </c>
      <c r="C26" s="18" t="n">
        <v>2</v>
      </c>
      <c r="D26" s="18" t="n">
        <v>2</v>
      </c>
      <c r="E26" s="18" t="n">
        <v>5</v>
      </c>
    </row>
    <row r="27" customFormat="false" ht="27.75" hidden="false" customHeight="true" outlineLevel="0" collapsed="false">
      <c r="A27" s="5" t="s">
        <v>58</v>
      </c>
      <c r="B27" s="16" t="n">
        <v>2</v>
      </c>
      <c r="C27" s="18" t="n">
        <v>3</v>
      </c>
      <c r="D27" s="18" t="n">
        <v>3</v>
      </c>
      <c r="E27" s="18" t="n">
        <v>5</v>
      </c>
    </row>
    <row r="28" customFormat="false" ht="27.75" hidden="false" customHeight="true" outlineLevel="0" collapsed="false">
      <c r="A28" s="5" t="s">
        <v>59</v>
      </c>
      <c r="B28" s="16" t="n">
        <v>2</v>
      </c>
      <c r="C28" s="18" t="n">
        <v>5</v>
      </c>
      <c r="D28" s="18" t="n">
        <v>4</v>
      </c>
      <c r="E28" s="18" t="n">
        <v>2</v>
      </c>
    </row>
    <row r="29" customFormat="false" ht="15" hidden="false" customHeight="false" outlineLevel="0" collapsed="false">
      <c r="A29" s="9" t="s">
        <v>60</v>
      </c>
      <c r="B29" s="10"/>
      <c r="C29" s="11" t="n">
        <f aca="false">SUMPRODUCT($B$23:$B$28,C23:C28)</f>
        <v>63</v>
      </c>
      <c r="D29" s="11" t="n">
        <f aca="false">SUMPRODUCT($B$23:$B$28,D23:D28)</f>
        <v>43</v>
      </c>
      <c r="E29" s="11" t="n">
        <f aca="false">SUMPRODUCT($B$23:$B$28,E23:E28)</f>
        <v>37</v>
      </c>
    </row>
    <row r="30" customFormat="false" ht="15" hidden="false" customHeight="false" outlineLevel="0" collapsed="false">
      <c r="A30" s="4" t="s">
        <v>61</v>
      </c>
      <c r="C30" s="19" t="str">
        <f aca="false">IF(MAX(C29:E29)=0,"",INDEX($C$22:$E$22,MATCH(MAX(C29:E29),C29:E29,0)))</f>
        <v>EI</v>
      </c>
      <c r="D30" s="19"/>
      <c r="E30" s="19"/>
    </row>
    <row r="32" customFormat="false" ht="57.75" hidden="false" customHeight="true" outlineLevel="0" collapsed="false">
      <c r="A32" s="29" t="s">
        <v>156</v>
      </c>
      <c r="B32" s="29"/>
      <c r="C32" s="29"/>
      <c r="D32" s="29"/>
      <c r="E32" s="29"/>
    </row>
    <row r="34" customFormat="false" ht="15" hidden="false" customHeight="true" outlineLevel="0" collapsed="false">
      <c r="A34" s="13" t="s">
        <v>157</v>
      </c>
      <c r="B34" s="13"/>
      <c r="C34" s="13"/>
      <c r="D34" s="13"/>
      <c r="E34" s="13"/>
    </row>
    <row r="35" customFormat="false" ht="30" hidden="false" customHeight="true" outlineLevel="0" collapsed="false">
      <c r="A35" s="3" t="s">
        <v>158</v>
      </c>
      <c r="B35" s="3" t="s">
        <v>159</v>
      </c>
      <c r="C35" s="3" t="s">
        <v>160</v>
      </c>
      <c r="D35" s="3"/>
      <c r="E35" s="3"/>
    </row>
    <row r="36" customFormat="false" ht="30" hidden="false" customHeight="true" outlineLevel="0" collapsed="false">
      <c r="A36" s="20" t="s">
        <v>161</v>
      </c>
      <c r="B36" s="20" t="s">
        <v>162</v>
      </c>
      <c r="C36" s="20" t="s">
        <v>163</v>
      </c>
      <c r="D36" s="20"/>
      <c r="E36" s="20"/>
    </row>
    <row r="37" customFormat="false" ht="30" hidden="false" customHeight="true" outlineLevel="0" collapsed="false">
      <c r="A37" s="20" t="s">
        <v>164</v>
      </c>
      <c r="B37" s="20" t="s">
        <v>165</v>
      </c>
      <c r="C37" s="20" t="s">
        <v>166</v>
      </c>
      <c r="D37" s="20"/>
      <c r="E37" s="20"/>
    </row>
    <row r="38" customFormat="false" ht="30" hidden="false" customHeight="true" outlineLevel="0" collapsed="false">
      <c r="A38" s="20" t="s">
        <v>167</v>
      </c>
      <c r="B38" s="20" t="s">
        <v>168</v>
      </c>
      <c r="C38" s="20" t="s">
        <v>169</v>
      </c>
      <c r="D38" s="20"/>
      <c r="E38" s="20"/>
    </row>
    <row r="39" customFormat="false" ht="30" hidden="false" customHeight="true" outlineLevel="0" collapsed="false">
      <c r="A39" s="20" t="s">
        <v>170</v>
      </c>
      <c r="B39" s="20" t="s">
        <v>171</v>
      </c>
      <c r="C39" s="20" t="s">
        <v>172</v>
      </c>
      <c r="D39" s="20"/>
      <c r="E39" s="20"/>
    </row>
    <row r="40" customFormat="false" ht="30" hidden="false" customHeight="true" outlineLevel="0" collapsed="false">
      <c r="A40" s="20" t="s">
        <v>173</v>
      </c>
      <c r="B40" s="20" t="s">
        <v>174</v>
      </c>
      <c r="C40" s="20" t="s">
        <v>175</v>
      </c>
      <c r="D40" s="20"/>
      <c r="E40" s="20"/>
    </row>
    <row r="42" customFormat="false" ht="30" hidden="false" customHeight="true" outlineLevel="0" collapsed="false">
      <c r="A42" s="3" t="s">
        <v>176</v>
      </c>
      <c r="B42" s="3" t="s">
        <v>177</v>
      </c>
      <c r="C42" s="3" t="s">
        <v>178</v>
      </c>
      <c r="D42" s="3"/>
      <c r="E42" s="3"/>
    </row>
    <row r="43" customFormat="false" ht="30" hidden="false" customHeight="true" outlineLevel="0" collapsed="false">
      <c r="A43" s="20" t="s">
        <v>179</v>
      </c>
      <c r="B43" s="20" t="s">
        <v>180</v>
      </c>
      <c r="C43" s="20" t="s">
        <v>181</v>
      </c>
      <c r="D43" s="20"/>
      <c r="E43" s="20"/>
    </row>
    <row r="44" customFormat="false" ht="30" hidden="false" customHeight="true" outlineLevel="0" collapsed="false">
      <c r="A44" s="20" t="s">
        <v>182</v>
      </c>
      <c r="B44" s="20" t="s">
        <v>183</v>
      </c>
      <c r="C44" s="20" t="s">
        <v>184</v>
      </c>
      <c r="D44" s="20"/>
      <c r="E44" s="20"/>
    </row>
    <row r="45" customFormat="false" ht="30" hidden="false" customHeight="true" outlineLevel="0" collapsed="false">
      <c r="A45" s="20" t="s">
        <v>185</v>
      </c>
      <c r="B45" s="20" t="s">
        <v>186</v>
      </c>
      <c r="C45" s="20" t="s">
        <v>187</v>
      </c>
      <c r="D45" s="20"/>
      <c r="E45" s="20"/>
    </row>
    <row r="46" customFormat="false" ht="30" hidden="false" customHeight="true" outlineLevel="0" collapsed="false">
      <c r="A46" s="20" t="s">
        <v>188</v>
      </c>
      <c r="B46" s="20" t="s">
        <v>189</v>
      </c>
      <c r="C46" s="20" t="s">
        <v>190</v>
      </c>
      <c r="D46" s="20"/>
      <c r="E46" s="20"/>
    </row>
    <row r="47" customFormat="false" ht="30" hidden="false" customHeight="true" outlineLevel="0" collapsed="false">
      <c r="A47" s="20" t="s">
        <v>191</v>
      </c>
      <c r="B47" s="20" t="s">
        <v>192</v>
      </c>
      <c r="C47" s="20" t="s">
        <v>193</v>
      </c>
      <c r="D47" s="20"/>
      <c r="E47" s="20"/>
    </row>
  </sheetData>
  <mergeCells count="18">
    <mergeCell ref="A4:E4"/>
    <mergeCell ref="A6:E6"/>
    <mergeCell ref="A21:E21"/>
    <mergeCell ref="C30:E30"/>
    <mergeCell ref="A32:E32"/>
    <mergeCell ref="A34:E34"/>
    <mergeCell ref="C35:E35"/>
    <mergeCell ref="C36:E36"/>
    <mergeCell ref="C37:E37"/>
    <mergeCell ref="C38:E38"/>
    <mergeCell ref="C39:E39"/>
    <mergeCell ref="C40:E40"/>
    <mergeCell ref="C42:E42"/>
    <mergeCell ref="C43:E43"/>
    <mergeCell ref="C44:E44"/>
    <mergeCell ref="C45:E45"/>
    <mergeCell ref="C46:E46"/>
    <mergeCell ref="C47:E47"/>
  </mergeCells>
  <dataValidations count="2">
    <dataValidation allowBlank="true" errorStyle="stop" operator="between" showDropDown="false" showErrorMessage="false" showInputMessage="false" sqref="B23:B28" type="whole">
      <formula1>1</formula1>
      <formula2>3</formula2>
    </dataValidation>
    <dataValidation allowBlank="true" errorStyle="stop" operator="between" showDropDown="false" showErrorMessage="false" showInputMessage="false" sqref="C23:E28" type="whole">
      <formula1>1</formula1>
      <formula2>5</formula2>
    </dataValidation>
  </dataValidations>
  <printOptions headings="false" gridLines="false" gridLinesSet="true" horizontalCentered="true" verticalCentered="false"/>
  <pageMargins left="0.4" right="0.4" top="1" bottom="1" header="0.511811023622047" footer="0.5"/>
  <pageSetup paperSize="9" scale="100" fitToWidth="1" fitToHeight="0" pageOrder="downThenOver" orientation="portrait" blackAndWhite="false" draft="false" cellComments="none" horizontalDpi="300" verticalDpi="300" copies="1"/>
  <headerFooter differentFirst="false" differentOddEven="false">
    <oddHeader/>
    <oddFooter>&amp;C&amp;8 CADE / CCIAK · Yokkute PME · page &amp;P /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2026-10-30T12:50:45Z</dcterms:created>
  <dc:creator>openpyxl</dc:creator>
  <dc:description/>
  <dc:language>en-US</dc:language>
  <cp:lastModifiedBy/>
  <dcterms:modified xsi:type="dcterms:W3CDTF">2026-10-30T12:50:45Z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