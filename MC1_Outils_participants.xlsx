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ode_d_emploi" sheetId="1" state="visible" r:id="rId3"/>
    <sheet name="Journal_de_caisse" sheetId="2" state="visible" r:id="rId4"/>
    <sheet name="Caisse_separee" sheetId="3" state="visible" r:id="rId5"/>
    <sheet name="Prix_de_revient" sheetId="4" state="visible" r:id="rId6"/>
    <sheet name="Fiche_de_stock" sheetId="5" state="visible" r:id="rId7"/>
    <sheet name="Stock_securite" sheetId="6" state="visible" r:id="rId8"/>
    <sheet name="Cas_Khady" sheetId="7" state="visible" r:id="rId9"/>
  </sheets>
  <definedNames>
    <definedName function="false" hidden="false" localSheetId="4" name="_xlnm.Print_Titles" vbProcedure="false">Fiche_de_stock!$7:$7</definedName>
    <definedName function="false" hidden="false" localSheetId="1" name="_xlnm.Print_Titles" vbProcedure="false">Journal_de_caisse!$7:$7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<sst xmlns="http://schemas.openxmlformats.org/spreadsheetml/2006/main" count="224" uniqueCount="191">
  <si>
    <t xml:space="preserve">MC1 · Tenir sa caisse et connaître son vrai prix</t>
  </si>
  <si>
    <t xml:space="preserve">Outils participants · TAXAWU PME Module 1 · CADE / CCIAK</t>
  </si>
  <si>
    <t xml:space="preserve">Ce classeur contient les cinq outils remis pendant la masterclass, et le cas de Khady utilisé en séance. Chaque onglet s'imprime sur une page A4 pour ceux qui travaillent sur papier.</t>
  </si>
  <si>
    <t xml:space="preserve">Onglet</t>
  </si>
  <si>
    <t xml:space="preserve">Usage</t>
  </si>
  <si>
    <t xml:space="preserve">Journal_de_caisse</t>
  </si>
  <si>
    <t xml:space="preserve">À remplir chaque soir : une ligne par mouvement d'argent. Le solde se calcule tout seul. Une fois par semaine, comptez la caisse et notez l'écart.</t>
  </si>
  <si>
    <t xml:space="preserve">Caisse_separee</t>
  </si>
  <si>
    <t xml:space="preserve">À remplir une fois : comment la caisse de l'entreprise est séparée de celle du ménage, et la rémunération fixe du promoteur.</t>
  </si>
  <si>
    <t xml:space="preserve">Prix_de_revient</t>
  </si>
  <si>
    <t xml:space="preserve">À remplir pour chaque produit principal : coûts d'une fournée ou d'un lot, part des charges fixes, quantité obtenue. Donne le prix de revient et la marge.</t>
  </si>
  <si>
    <t xml:space="preserve">Fiche_de_stock</t>
  </si>
  <si>
    <t xml:space="preserve">Une fiche par produit important : chaque entrée et sortie. Le stock restant se calcule, et « COMMANDER » s'affiche dès que le point de commande est atteint.</t>
  </si>
  <si>
    <t xml:space="preserve">Stock_securite</t>
  </si>
  <si>
    <t xml:space="preserve">Calcule le stock de sécurité et le point de commande de vos produits, et le taux de pertes du mois.</t>
  </si>
  <si>
    <t xml:space="preserve">Cas_Khady</t>
  </si>
  <si>
    <t xml:space="preserve">Le cas pratique de la séance, avec le corrigé calculé. Sert d'exemple de remplissage.</t>
  </si>
  <si>
    <t xml:space="preserve">Code couleur : les cellules jaunes à texte bleu sont à remplir ; les cellules blanches sont calculées, ne les modifiez pas. Montants en francs CFA (FCFA).</t>
  </si>
  <si>
    <t xml:space="preserve">Les montants du cas de Khady sont illustratifs ; adaptez-les aux prix du moment.</t>
  </si>
  <si>
    <t xml:space="preserve">Journal de caisse</t>
  </si>
  <si>
    <t xml:space="preserve">Une ligne par mouvement d'argent · arrêter le solde chaque soir</t>
  </si>
  <si>
    <t xml:space="preserve">Entreprise</t>
  </si>
  <si>
    <t xml:space="preserve">Mois</t>
  </si>
  <si>
    <t xml:space="preserve">Solde de départ (argent en caisse le 1er jour, FCFA)</t>
  </si>
  <si>
    <t xml:space="preserve">Cellules jaunes à texte bleu : à remplir. Cellules blanches : calculées automatiquement, ne pas modifier.</t>
  </si>
  <si>
    <t xml:space="preserve">Date</t>
  </si>
  <si>
    <t xml:space="preserve">Motif</t>
  </si>
  <si>
    <t xml:space="preserve">Catégorie</t>
  </si>
  <si>
    <t xml:space="preserve">Entrée (FCFA)</t>
  </si>
  <si>
    <t xml:space="preserve">Sortie (FCFA)</t>
  </si>
  <si>
    <t xml:space="preserve">Solde (FCFA)</t>
  </si>
  <si>
    <t xml:space="preserve">Récapitulatif du mois</t>
  </si>
  <si>
    <t xml:space="preserve">Total des entrées</t>
  </si>
  <si>
    <t xml:space="preserve">Total des sorties</t>
  </si>
  <si>
    <t xml:space="preserve">Solde théorique en fin de période</t>
  </si>
  <si>
    <t xml:space="preserve">Ventes du mois (chiffre d'affaires)</t>
  </si>
  <si>
    <t xml:space="preserve">Achats de marchandises ou matières</t>
  </si>
  <si>
    <t xml:space="preserve">Charges, salaires et main-d'œuvre</t>
  </si>
  <si>
    <t xml:space="preserve">Prélèvements personnels du promoteur</t>
  </si>
  <si>
    <t xml:space="preserve">Résultat d'activité estimé (ventes − achats − charges)</t>
  </si>
  <si>
    <t xml:space="preserve">Argent compté dans la caisse en fin de période</t>
  </si>
  <si>
    <t xml:space="preserve">Écart (compté − théorique) : à expliquer s'il n'est pas nul</t>
  </si>
  <si>
    <t xml:space="preserve">Le résultat d'activité est une estimation : il ne tient pas compte du stock restant ni des ventes à crédit non encaissées. Les prélèvements personnels ne sont pas des charges de l'entreprise : comparez-les au résultat pour savoir si l'entreprise peut les supporter.</t>
  </si>
  <si>
    <t xml:space="preserve">Mémo de la caisse séparée</t>
  </si>
  <si>
    <t xml:space="preserve">Les règles entre l'argent de l'entreprise et celui du ménage · à afficher près de la caisse</t>
  </si>
  <si>
    <t xml:space="preserve">Date de mise en place</t>
  </si>
  <si>
    <t xml:space="preserve">1. Où est l'argent de l'entreprise ?</t>
  </si>
  <si>
    <t xml:space="preserve">Votre choix</t>
  </si>
  <si>
    <t xml:space="preserve">Support de la caisse (boîte dédiée, numéro Wave ou Orange Money réservé, compte IMF)</t>
  </si>
  <si>
    <t xml:space="preserve">Numéro ou nom du compte dédié</t>
  </si>
  <si>
    <t xml:space="preserve">Qui a le droit de prendre de l'argent dans la caisse ?</t>
  </si>
  <si>
    <t xml:space="preserve">À quel moment l'argent en trop est-il déposé (épargne, compte IMF) ?</t>
  </si>
  <si>
    <t xml:space="preserve">2. Ma rémunération de promoteur</t>
  </si>
  <si>
    <t xml:space="preserve">Montant ou choix</t>
  </si>
  <si>
    <t xml:space="preserve">Dépenses du ménage couvertes chaque mois par l'activité (FCFA)</t>
  </si>
  <si>
    <t xml:space="preserve">Rémunération fixe décidée (FCFA par mois)</t>
  </si>
  <si>
    <t xml:space="preserve">Fréquence de versement (chaque semaine, chaque mois)</t>
  </si>
  <si>
    <t xml:space="preserve">Montant par versement (FCFA)</t>
  </si>
  <si>
    <t xml:space="preserve">Résultat moyen de l'entreprise constaté sur 4 semaines de journal (FCFA par mois)</t>
  </si>
  <si>
    <t xml:space="preserve">L'entreprise peut-elle payer cette rémunération ?</t>
  </si>
  <si>
    <t xml:space="preserve">3. Ce qui est un prélèvement personnel</t>
  </si>
  <si>
    <t xml:space="preserve">À noter dans le journal en « Prélèvement personnel »</t>
  </si>
  <si>
    <t xml:space="preserve">Dépense quotidienne de la maison</t>
  </si>
  <si>
    <t xml:space="preserve">Oui</t>
  </si>
  <si>
    <t xml:space="preserve">Frais de scolarité, ordonnances, habillement</t>
  </si>
  <si>
    <t xml:space="preserve">Cérémonies, dons, aides familiales</t>
  </si>
  <si>
    <t xml:space="preserve">Tout ce que le promoteur prend en plus de sa rémunération fixe</t>
  </si>
  <si>
    <t xml:space="preserve">Règle d'or : on rachète d'abord la marchandise, on se paie ensuite. Les aides familiales sont prises sur la rémunération du promoteur, jamais sur l'argent qui sert à racheter.</t>
  </si>
  <si>
    <t xml:space="preserve">Signature du promoteur</t>
  </si>
  <si>
    <t xml:space="preserve">Visa du conseiller CADE</t>
  </si>
  <si>
    <t xml:space="preserve">Fiche de prix de revient</t>
  </si>
  <si>
    <t xml:space="preserve">Ce que coûte réellement une unité vendue · une fiche par produit</t>
  </si>
  <si>
    <t xml:space="preserve">Produit ou service</t>
  </si>
  <si>
    <t xml:space="preserve">Unité de vente (kg, pièce, sac, prestation…)</t>
  </si>
  <si>
    <t xml:space="preserve">Calcul fait pour (une fournée, un lot, un mois…)</t>
  </si>
  <si>
    <t xml:space="preserve">1. Matières et fournitures (ce qui entre dans le produit)</t>
  </si>
  <si>
    <t xml:space="preserve">Quantité</t>
  </si>
  <si>
    <t xml:space="preserve">Unité</t>
  </si>
  <si>
    <t xml:space="preserve">Prix unitaire (FCFA)</t>
  </si>
  <si>
    <t xml:space="preserve">Montant (FCFA)</t>
  </si>
  <si>
    <t xml:space="preserve">Sous-total</t>
  </si>
  <si>
    <t xml:space="preserve">2. Fabrication ou service (main-d'œuvre, mouture, énergie, transport)</t>
  </si>
  <si>
    <t xml:space="preserve">3. Charges fixes du mois (loyer, droits de place, téléphone…)</t>
  </si>
  <si>
    <t xml:space="preserve">Montant mensuel (FCFA)</t>
  </si>
  <si>
    <t xml:space="preserve">Total des charges fixes du mois</t>
  </si>
  <si>
    <t xml:space="preserve">Nombre de fournées, lots ou mois sur lesquels répartir</t>
  </si>
  <si>
    <t xml:space="preserve">Part des charges fixes pour ce calcul</t>
  </si>
  <si>
    <t xml:space="preserve">Résultat</t>
  </si>
  <si>
    <t xml:space="preserve">Valeur</t>
  </si>
  <si>
    <t xml:space="preserve">Coût total (1 + 2 + 3) en FCFA</t>
  </si>
  <si>
    <t xml:space="preserve">Quantité obtenue ou vendue (en unités de vente)</t>
  </si>
  <si>
    <t xml:space="preserve">Prix de revient d'une unité (FCFA)</t>
  </si>
  <si>
    <t xml:space="preserve">Prix de vente actuel d'une unité (FCFA)</t>
  </si>
  <si>
    <t xml:space="preserve">Marge par unité (FCFA)</t>
  </si>
  <si>
    <t xml:space="preserve">Taux de marge sur le prix de vente</t>
  </si>
  <si>
    <t xml:space="preserve">Quantités vendues par mois (unités)</t>
  </si>
  <si>
    <t xml:space="preserve">Marge totale du mois (FCFA)</t>
  </si>
  <si>
    <t xml:space="preserve">Diagnostic</t>
  </si>
  <si>
    <t xml:space="preserve">Refaites cette fiche chaque fois que le prix d'une matière augmente nettement (après la récolte, avant la Tabaski). Le seuil de 15 % pour une « marge faible » est un repère pédagogique, à adapter à l'activité.</t>
  </si>
  <si>
    <t xml:space="preserve">Fiche de stock</t>
  </si>
  <si>
    <t xml:space="preserve">Une fiche par produit · noter chaque entrée et chaque sortie · compter chaque semaine</t>
  </si>
  <si>
    <t xml:space="preserve">Produit</t>
  </si>
  <si>
    <t xml:space="preserve">Stock de départ</t>
  </si>
  <si>
    <t xml:space="preserve">Point de commande</t>
  </si>
  <si>
    <t xml:space="preserve">Point de commande : voir l'onglet Stock_securite</t>
  </si>
  <si>
    <t xml:space="preserve">Libellé (achat, fournée, vente, perte, comptage)</t>
  </si>
  <si>
    <t xml:space="preserve">Entrée</t>
  </si>
  <si>
    <t xml:space="preserve">Sortie</t>
  </si>
  <si>
    <t xml:space="preserve">Stock restant</t>
  </si>
  <si>
    <t xml:space="preserve">Alerte</t>
  </si>
  <si>
    <t xml:space="preserve">Comptage hebdomadaire</t>
  </si>
  <si>
    <t xml:space="preserve">Stock d'après la fiche</t>
  </si>
  <si>
    <t xml:space="preserve">Stock compté</t>
  </si>
  <si>
    <t xml:space="preserve">Écart</t>
  </si>
  <si>
    <t xml:space="preserve">Écart en %</t>
  </si>
  <si>
    <t xml:space="preserve">Explication</t>
  </si>
  <si>
    <t xml:space="preserve">Quand l'écart est négatif (manque), notez la perte sur une ligne « perte » de la fiche pour que le stock restant redevienne juste. Un écart supérieur à 5 % doit être expliqué au conseiller.</t>
  </si>
  <si>
    <t xml:space="preserve">Stock de sécurité et point de commande</t>
  </si>
  <si>
    <t xml:space="preserve">Commander dès que le stock descend au point de commande</t>
  </si>
  <si>
    <t xml:space="preserve">Consommation moyenne par jour</t>
  </si>
  <si>
    <t xml:space="preserve">Délai de réapprovisionnement (jours)</t>
  </si>
  <si>
    <t xml:space="preserve">Jours de sécurité souhaités</t>
  </si>
  <si>
    <t xml:space="preserve">Stock de sécurité</t>
  </si>
  <si>
    <t xml:space="preserve">Consommation moyenne par jour = quantité utilisée ou vendue dans le mois ÷ 30. Jours de sécurité : 2 à 3 en général, davantage si le fournisseur n'est pas fiable ou avant une fête. Reportez le point de commande sur la fiche de stock du produit.</t>
  </si>
  <si>
    <t xml:space="preserve">Mesure des pertes du mois</t>
  </si>
  <si>
    <t xml:space="preserve">Quantité entrée ou utilisée</t>
  </si>
  <si>
    <t xml:space="preserve">Quantité perdue (abîmée, périmée, volée, écart)</t>
  </si>
  <si>
    <t xml:space="preserve">Taux de pertes</t>
  </si>
  <si>
    <t xml:space="preserve">Valeur unitaire (FCFA)</t>
  </si>
  <si>
    <t xml:space="preserve">Valeur des pertes (FCFA)</t>
  </si>
  <si>
    <t xml:space="preserve">Total des pertes du mois</t>
  </si>
  <si>
    <t xml:space="preserve">Cas pratique · Khady, transformatrice de céréales au marché central de Kaolack</t>
  </si>
  <si>
    <t xml:space="preserve">Énoncé et corrigé calculé · montants illustratifs</t>
  </si>
  <si>
    <t xml:space="preserve">Khady transforme du mil en thiakry et en araw, vendus en sachets d'un kilo dans sa cantine du marché central. Elle fait une fournée de 10 kg de mil le lundi, le mercredi et le vendredi (12 fournées par mois), avec une aide. Elle vend le kilo 1 000 FCFA, « comme tout le monde ». En fin de mois, elle n'arrive jamais à racheter assez de mil.</t>
  </si>
  <si>
    <t xml:space="preserve">Partie A · Journal de caisse du lundi</t>
  </si>
  <si>
    <t xml:space="preserve">Solde du matin (FCFA)</t>
  </si>
  <si>
    <t xml:space="preserve">Vente de 6 kg de thiakry</t>
  </si>
  <si>
    <t xml:space="preserve">Vente</t>
  </si>
  <si>
    <t xml:space="preserve">Vente de 4 kg d'araw</t>
  </si>
  <si>
    <t xml:space="preserve">Remboursement du crédit d'une cliente</t>
  </si>
  <si>
    <t xml:space="preserve">Encaissement de créance</t>
  </si>
  <si>
    <t xml:space="preserve">Achat de 10 kg de mil</t>
  </si>
  <si>
    <t xml:space="preserve">Achat</t>
  </si>
  <si>
    <t xml:space="preserve">Mouture</t>
  </si>
  <si>
    <t xml:space="preserve">Charge</t>
  </si>
  <si>
    <t xml:space="preserve">Sachets</t>
  </si>
  <si>
    <t xml:space="preserve">Transport</t>
  </si>
  <si>
    <t xml:space="preserve">Crédit téléphonique</t>
  </si>
  <si>
    <t xml:space="preserve">Prélèvement personnel</t>
  </si>
  <si>
    <t xml:space="preserve">Total de la journée</t>
  </si>
  <si>
    <t xml:space="preserve">Solde théorique du soir = matin + entrées − sorties</t>
  </si>
  <si>
    <t xml:space="preserve">Argent compté dans la caisse</t>
  </si>
  <si>
    <t xml:space="preserve">Écart (compté − théorique)</t>
  </si>
  <si>
    <t xml:space="preserve">Ventes du jour (hors remboursement)</t>
  </si>
  <si>
    <t xml:space="preserve">Prélèvements personnels, écart compris</t>
  </si>
  <si>
    <t xml:space="preserve">Lecture : il manque 1 000 FCFA, donnés au fils de Khady pour l'école et non notés. Avec ce second prélèvement, 4 000 FCFA sont sortis pour le ménage, alors que les ventes du jour sont de 10 000 FCFA.</t>
  </si>
  <si>
    <t xml:space="preserve">Partie B · Prix de revient d'un kilo de thiakry</t>
  </si>
  <si>
    <t xml:space="preserve">Poste</t>
  </si>
  <si>
    <t xml:space="preserve">Situation actuelle</t>
  </si>
  <si>
    <t xml:space="preserve">Après améliorations</t>
  </si>
  <si>
    <t xml:space="preserve">Commentaire</t>
  </si>
  <si>
    <t xml:space="preserve">Mil (10 kg)</t>
  </si>
  <si>
    <t xml:space="preserve">Achat par sac de 50 kg à 375 FCFA au lieu de 400</t>
  </si>
  <si>
    <t xml:space="preserve">Arôme</t>
  </si>
  <si>
    <t xml:space="preserve">Un sachet de plus avec 9,5 kg</t>
  </si>
  <si>
    <t xml:space="preserve">Charbon</t>
  </si>
  <si>
    <t xml:space="preserve">Aide (main-d'œuvre)</t>
  </si>
  <si>
    <t xml:space="preserve">Charges fixes du mois (loyer 15 000 + droits de place 4 500 + téléphone 1 500)</t>
  </si>
  <si>
    <t xml:space="preserve">Nombre de fournées par mois</t>
  </si>
  <si>
    <t xml:space="preserve">Part des charges fixes par fournée</t>
  </si>
  <si>
    <t xml:space="preserve">Coût total d'une fournée</t>
  </si>
  <si>
    <t xml:space="preserve">Kilos obtenus par fournée</t>
  </si>
  <si>
    <t xml:space="preserve">Prix de revient d'un kilo (FCFA)</t>
  </si>
  <si>
    <t xml:space="preserve">Prix de vente d'un kilo (FCFA)</t>
  </si>
  <si>
    <t xml:space="preserve">Marge par kilo (FCFA)</t>
  </si>
  <si>
    <t xml:space="preserve">Kilos vendus par mois</t>
  </si>
  <si>
    <t xml:space="preserve">Marge du mois (FCFA)</t>
  </si>
  <si>
    <t xml:space="preserve">Lecture : à 1 000 FCFA, Khady perd environ 111 FCFA par kilo, soit près de 12 000 FCFA par mois, sans compter son propre travail. En achetant par sac, en réduisant les pertes et en vendant à 1 250 FCFA, elle gagne environ 218 FCFA par kilo.</t>
  </si>
  <si>
    <t xml:space="preserve">Partie C · Point de commande du mil</t>
  </si>
  <si>
    <t xml:space="preserve">Consommation moyenne (kg par jour)</t>
  </si>
  <si>
    <t xml:space="preserve">Jours de sécurité</t>
  </si>
  <si>
    <t xml:space="preserve">Stock de sécurité (kg)</t>
  </si>
  <si>
    <t xml:space="preserve">Point de commande (kg)</t>
  </si>
  <si>
    <t xml:space="preserve">Jour</t>
  </si>
  <si>
    <t xml:space="preserve">Entrée (kg)</t>
  </si>
  <si>
    <t xml:space="preserve">Sortie (kg)</t>
  </si>
  <si>
    <t xml:space="preserve">Stock restant (kg)</t>
  </si>
  <si>
    <t xml:space="preserve">Décision</t>
  </si>
  <si>
    <t xml:space="preserve">Lundi matin</t>
  </si>
  <si>
    <t xml:space="preserve">Lundi</t>
  </si>
  <si>
    <t xml:space="preserve">Mercredi</t>
  </si>
</sst>
</file>

<file path=xl/styles.xml><?xml version="1.0" encoding="utf-8"?>
<styleSheet xmlns="http://schemas.openxmlformats.org/spreadsheetml/2006/main">
  <numFmts count="9">
    <numFmt numFmtId="164" formatCode="General"/>
    <numFmt numFmtId="165" formatCode="#,##0;\-#,##0;\-"/>
    <numFmt numFmtId="166" formatCode="dd/mm/yyyy"/>
    <numFmt numFmtId="167" formatCode="@"/>
    <numFmt numFmtId="168" formatCode="#,##0.##"/>
    <numFmt numFmtId="169" formatCode="#,##0"/>
    <numFmt numFmtId="170" formatCode="0.0%"/>
    <numFmt numFmtId="171" formatCode="0.0"/>
    <numFmt numFmtId="172" formatCode="0"/>
  </numFmts>
  <fonts count="17">
    <font>
      <sz val="11"/>
      <color theme="1"/>
      <name val="Calibri"/>
      <family val="2"/>
      <charset val="1"/>
    </font>
    <font>
      <sz val="10"/>
      <name val="Arial"/>
      <family val="0"/>
    </font>
    <font>
      <sz val="10"/>
      <name val="Arial"/>
      <family val="0"/>
    </font>
    <font>
      <sz val="10"/>
      <name val="Arial"/>
      <family val="0"/>
    </font>
    <font>
      <b val="true"/>
      <sz val="15"/>
      <color rgb="FF17342C"/>
      <name val="Arial"/>
      <family val="0"/>
      <charset val="1"/>
    </font>
    <font>
      <i val="true"/>
      <sz val="9"/>
      <color rgb="FF56655F"/>
      <name val="Arial"/>
      <family val="0"/>
      <charset val="1"/>
    </font>
    <font>
      <sz val="10"/>
      <color rgb="FF18241F"/>
      <name val="Arial"/>
      <family val="0"/>
      <charset val="1"/>
    </font>
    <font>
      <b val="true"/>
      <sz val="10"/>
      <color rgb="FFFFFFFF"/>
      <name val="Arial"/>
      <family val="0"/>
      <charset val="1"/>
    </font>
    <font>
      <b val="true"/>
      <sz val="10"/>
      <color rgb="FF000000"/>
      <name val="Arial"/>
      <family val="0"/>
      <charset val="1"/>
    </font>
    <font>
      <sz val="10"/>
      <color rgb="FF000000"/>
      <name val="Arial"/>
      <family val="0"/>
      <charset val="1"/>
    </font>
    <font>
      <sz val="10"/>
      <color rgb="FF0000FF"/>
      <name val="Arial"/>
      <family val="0"/>
      <charset val="1"/>
    </font>
    <font>
      <sz val="10"/>
      <name val="Arial"/>
      <family val="0"/>
      <charset val="1"/>
    </font>
    <font>
      <b val="true"/>
      <sz val="10"/>
      <name val="Arial"/>
      <family val="0"/>
      <charset val="1"/>
    </font>
    <font>
      <b val="true"/>
      <sz val="10"/>
      <color rgb="FF17342C"/>
      <name val="Arial"/>
      <family val="0"/>
      <charset val="1"/>
    </font>
    <font>
      <i val="true"/>
      <sz val="8"/>
      <color rgb="FF56655F"/>
      <name val="Arial"/>
      <family val="0"/>
      <charset val="1"/>
    </font>
    <font>
      <i val="true"/>
      <sz val="9"/>
      <color rgb="FF18241F"/>
      <name val="Arial"/>
      <family val="0"/>
      <charset val="1"/>
    </font>
    <font>
      <sz val="8"/>
      <color rgb="FF000000"/>
      <name val="Arial"/>
      <family val="0"/>
      <charset val="1"/>
    </font>
  </fonts>
  <fills count="6">
    <fill>
      <patternFill patternType="none"/>
    </fill>
    <fill>
      <patternFill patternType="gray125"/>
    </fill>
    <fill>
      <patternFill patternType="solid">
        <fgColor rgb="FF17342C"/>
        <bgColor rgb="FF18241F"/>
      </patternFill>
    </fill>
    <fill>
      <patternFill patternType="solid">
        <fgColor rgb="FFEAEEE8"/>
        <bgColor rgb="FFFBEBEB"/>
      </patternFill>
    </fill>
    <fill>
      <patternFill patternType="solid">
        <fgColor rgb="FFFFF6DC"/>
        <bgColor rgb="FFFBEBEB"/>
      </patternFill>
    </fill>
    <fill>
      <patternFill patternType="solid">
        <fgColor rgb="FFF6E7D2"/>
        <bgColor rgb="FFFBEBEB"/>
      </patternFill>
    </fill>
  </fills>
  <borders count="2">
    <border diagonalUp="false" diagonalDown="false">
      <left/>
      <right/>
      <top/>
      <bottom/>
      <diagonal/>
    </border>
    <border diagonalUp="false" diagonalDown="false">
      <left style="thin">
        <color rgb="FFB7C2BC"/>
      </left>
      <right style="thin">
        <color rgb="FFB7C2BC"/>
      </right>
      <top style="thin">
        <color rgb="FFB7C2BC"/>
      </top>
      <bottom style="thin">
        <color rgb="FFB7C2B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false" indent="0" shrinkToFit="false"/>
      <protection locked="true" hidden="false"/>
    </xf>
    <xf numFmtId="164" fontId="9" fillId="0" borderId="1"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center" textRotation="0" wrapText="false" indent="0" shrinkToFit="false"/>
      <protection locked="true" hidden="false"/>
    </xf>
    <xf numFmtId="164" fontId="10" fillId="4"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general" vertical="center" textRotation="0" wrapText="true" indent="0" shrinkToFit="false"/>
      <protection locked="true" hidden="false"/>
    </xf>
    <xf numFmtId="165" fontId="10" fillId="4" borderId="1" xfId="0" applyFont="true" applyBorder="true" applyAlignment="false" applyProtection="false">
      <alignment horizontal="general" vertical="bottom" textRotation="0" wrapText="false" indent="0" shrinkToFit="false"/>
      <protection locked="true" hidden="false"/>
    </xf>
    <xf numFmtId="166" fontId="10" fillId="4" borderId="1" xfId="0" applyFont="true" applyBorder="true" applyAlignment="false" applyProtection="false">
      <alignment horizontal="general" vertical="bottom" textRotation="0" wrapText="fals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64" fontId="8" fillId="5" borderId="1" xfId="0" applyFont="true" applyBorder="true" applyAlignment="true" applyProtection="false">
      <alignment horizontal="general" vertical="center" textRotation="0" wrapText="false" indent="0" shrinkToFit="false"/>
      <protection locked="true" hidden="false"/>
    </xf>
    <xf numFmtId="165" fontId="12"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7" fontId="12"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center" textRotation="0" wrapText="false" indent="0" shrinkToFit="false"/>
      <protection locked="true" hidden="false"/>
    </xf>
    <xf numFmtId="164" fontId="13" fillId="0" borderId="0" xfId="0" applyFont="true" applyBorder="true" applyAlignment="true" applyProtection="false">
      <alignment horizontal="general" vertical="top"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8" fontId="10" fillId="4" borderId="1" xfId="0" applyFont="true" applyBorder="true" applyAlignment="false" applyProtection="false">
      <alignment horizontal="general" vertical="bottom" textRotation="0" wrapText="false" indent="0" shrinkToFit="false"/>
      <protection locked="true" hidden="false"/>
    </xf>
    <xf numFmtId="164" fontId="9" fillId="5" borderId="1" xfId="0" applyFont="true" applyBorder="true" applyAlignment="true" applyProtection="false">
      <alignment horizontal="general" vertical="center" textRotation="0" wrapText="false" indent="0" shrinkToFit="false"/>
      <protection locked="true" hidden="false"/>
    </xf>
    <xf numFmtId="165" fontId="12" fillId="5" borderId="1" xfId="0" applyFont="true" applyBorder="true" applyAlignment="false" applyProtection="false">
      <alignment horizontal="general" vertical="bottom" textRotation="0" wrapText="false" indent="0" shrinkToFit="false"/>
      <protection locked="true" hidden="false"/>
    </xf>
    <xf numFmtId="169" fontId="10" fillId="4" borderId="1" xfId="0" applyFont="true" applyBorder="true" applyAlignment="false" applyProtection="false">
      <alignment horizontal="general" vertical="bottom" textRotation="0" wrapText="false" indent="0" shrinkToFit="false"/>
      <protection locked="true" hidden="false"/>
    </xf>
    <xf numFmtId="170" fontId="11" fillId="0" borderId="1"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general" vertical="top" textRotation="0" wrapText="true" indent="0" shrinkToFit="false"/>
      <protection locked="true" hidden="false"/>
    </xf>
    <xf numFmtId="168" fontId="11" fillId="0" borderId="1" xfId="0" applyFont="true" applyBorder="true" applyAlignment="false" applyProtection="false">
      <alignment horizontal="general" vertical="bottom" textRotation="0" wrapText="false" indent="0" shrinkToFit="false"/>
      <protection locked="true" hidden="false"/>
    </xf>
    <xf numFmtId="168" fontId="12" fillId="0" borderId="1" xfId="0" applyFont="true" applyBorder="true" applyAlignment="fals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general" vertical="top" textRotation="0" wrapText="true" indent="0" shrinkToFit="false"/>
      <protection locked="true" hidden="false"/>
    </xf>
    <xf numFmtId="164" fontId="16" fillId="0" borderId="1" xfId="0" applyFont="true" applyBorder="true" applyAlignment="true" applyProtection="false">
      <alignment horizontal="general" vertical="center" textRotation="0" wrapText="true" indent="0" shrinkToFit="false"/>
      <protection locked="true" hidden="false"/>
    </xf>
    <xf numFmtId="169" fontId="11" fillId="0" borderId="1" xfId="0" applyFont="true" applyBorder="true" applyAlignment="false" applyProtection="false">
      <alignment horizontal="general" vertical="bottom" textRotation="0" wrapText="false" indent="0" shrinkToFit="false"/>
      <protection locked="true" hidden="false"/>
    </xf>
    <xf numFmtId="171" fontId="10" fillId="4" borderId="1" xfId="0" applyFont="true" applyBorder="true" applyAlignment="false" applyProtection="false">
      <alignment horizontal="general" vertical="bottom" textRotation="0" wrapText="false" indent="0" shrinkToFit="false"/>
      <protection locked="true" hidden="false"/>
    </xf>
    <xf numFmtId="172" fontId="10" fillId="4" borderId="1" xfId="0" applyFont="true" applyBorder="true" applyAlignment="false" applyProtection="false">
      <alignment horizontal="general" vertical="bottom" textRotation="0" wrapText="false" indent="0" shrinkToFit="false"/>
      <protection locked="true" hidden="false"/>
    </xf>
    <xf numFmtId="172" fontId="11" fillId="0" borderId="1" xfId="0" applyFont="true" applyBorder="true" applyAlignment="false" applyProtection="false">
      <alignment horizontal="general" vertical="bottom" textRotation="0" wrapText="false" indent="0" shrinkToFit="false"/>
      <protection locked="true" hidden="false"/>
    </xf>
    <xf numFmtId="172" fontId="12"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name val="Arial"/>
        <charset val="1"/>
        <family val="0"/>
        <b val="1"/>
        <color rgb="FF9C0006"/>
      </font>
      <fill>
        <patternFill>
          <bgColor rgb="FFFBEBEB"/>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7C2BC"/>
      <rgbColor rgb="FF808080"/>
      <rgbColor rgb="FF9999FF"/>
      <rgbColor rgb="FF993366"/>
      <rgbColor rgb="FFFFF6DC"/>
      <rgbColor rgb="FFEAEEE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BEBEB"/>
      <rgbColor rgb="FFCCFFCC"/>
      <rgbColor rgb="FFF6E7D2"/>
      <rgbColor rgb="FF99CCFF"/>
      <rgbColor rgb="FFFF99CC"/>
      <rgbColor rgb="FFCC99FF"/>
      <rgbColor rgb="FFFFCC99"/>
      <rgbColor rgb="FF3366FF"/>
      <rgbColor rgb="FF33CCCC"/>
      <rgbColor rgb="FF99CC00"/>
      <rgbColor rgb="FFFFCC00"/>
      <rgbColor rgb="FFFF9900"/>
      <rgbColor rgb="FFFF6600"/>
      <rgbColor rgb="FF56655F"/>
      <rgbColor rgb="FF969696"/>
      <rgbColor rgb="FF003366"/>
      <rgbColor rgb="FF339966"/>
      <rgbColor rgb="FF18241F"/>
      <rgbColor rgb="FF333300"/>
      <rgbColor rgb="FF993300"/>
      <rgbColor rgb="FF993366"/>
      <rgbColor rgb="FF333399"/>
      <rgbColor rgb="FF17342C"/>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90"/>
  </cols>
  <sheetData>
    <row r="1" customFormat="false" ht="18.55" hidden="false" customHeight="false" outlineLevel="0" collapsed="false">
      <c r="A1" s="1" t="s">
        <v>0</v>
      </c>
    </row>
    <row r="2" customFormat="false" ht="15" hidden="false" customHeight="false" outlineLevel="0" collapsed="false">
      <c r="A2" s="2" t="s">
        <v>1</v>
      </c>
    </row>
    <row r="4" customFormat="false" ht="31.5" hidden="false" customHeight="true" outlineLevel="0" collapsed="false">
      <c r="A4" s="3" t="s">
        <v>2</v>
      </c>
      <c r="B4" s="3"/>
    </row>
    <row r="6" customFormat="false" ht="30" hidden="false" customHeight="true" outlineLevel="0" collapsed="false">
      <c r="A6" s="4" t="s">
        <v>3</v>
      </c>
      <c r="B6" s="4" t="s">
        <v>4</v>
      </c>
    </row>
    <row r="7" customFormat="false" ht="31.5" hidden="false" customHeight="true" outlineLevel="0" collapsed="false">
      <c r="A7" s="5" t="s">
        <v>5</v>
      </c>
      <c r="B7" s="6" t="s">
        <v>6</v>
      </c>
    </row>
    <row r="8" customFormat="false" ht="31.5" hidden="false" customHeight="true" outlineLevel="0" collapsed="false">
      <c r="A8" s="5" t="s">
        <v>7</v>
      </c>
      <c r="B8" s="6" t="s">
        <v>8</v>
      </c>
    </row>
    <row r="9" customFormat="false" ht="31.5" hidden="false" customHeight="true" outlineLevel="0" collapsed="false">
      <c r="A9" s="5" t="s">
        <v>9</v>
      </c>
      <c r="B9" s="6" t="s">
        <v>10</v>
      </c>
    </row>
    <row r="10" customFormat="false" ht="31.5" hidden="false" customHeight="true" outlineLevel="0" collapsed="false">
      <c r="A10" s="5" t="s">
        <v>11</v>
      </c>
      <c r="B10" s="6" t="s">
        <v>12</v>
      </c>
    </row>
    <row r="11" customFormat="false" ht="31.5" hidden="false" customHeight="true" outlineLevel="0" collapsed="false">
      <c r="A11" s="5" t="s">
        <v>13</v>
      </c>
      <c r="B11" s="6" t="s">
        <v>14</v>
      </c>
    </row>
    <row r="12" customFormat="false" ht="31.5" hidden="false" customHeight="true" outlineLevel="0" collapsed="false">
      <c r="A12" s="5" t="s">
        <v>15</v>
      </c>
      <c r="B12" s="6" t="s">
        <v>16</v>
      </c>
    </row>
    <row r="14" customFormat="false" ht="27.75" hidden="false" customHeight="true" outlineLevel="0" collapsed="false">
      <c r="A14" s="7" t="s">
        <v>17</v>
      </c>
      <c r="B14" s="7"/>
    </row>
    <row r="15" customFormat="false" ht="15" hidden="false" customHeight="true" outlineLevel="0" collapsed="false">
      <c r="A15" s="7" t="s">
        <v>18</v>
      </c>
      <c r="B15" s="7"/>
    </row>
  </sheetData>
  <mergeCells count="3">
    <mergeCell ref="A4:B4"/>
    <mergeCell ref="A14:B14"/>
    <mergeCell ref="A15:B15"/>
  </mergeCells>
  <printOptions headings="false" gridLines="false" gridLinesSet="true" horizontalCentered="true" verticalCentered="false"/>
  <pageMargins left="0.4" right="0.4" top="1" bottom="1" header="0.511811023622047" footer="0.5"/>
  <pageSetup paperSize="9" scale="100" fitToWidth="1" fitToHeight="1" pageOrder="downThenOver" orientation="portrait" blackAndWhite="false" draft="false" cellComments="none" horizontalDpi="300" verticalDpi="300" copies="1"/>
  <headerFooter differentFirst="false" differentOddEven="false">
    <oddHeader/>
    <oddFooter>&amp;C&amp;8 CADE / CCIAK · Yokkute PME · page &amp;P /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8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40"/>
    <col collapsed="false" customWidth="true" hidden="false" outlineLevel="0" max="3" min="3" style="0" width="16"/>
    <col collapsed="false" customWidth="true" hidden="false" outlineLevel="0" max="5" min="4" style="0" width="14"/>
    <col collapsed="false" customWidth="true" hidden="false" outlineLevel="0" max="6" min="6" style="0" width="15"/>
  </cols>
  <sheetData>
    <row r="1" customFormat="false" ht="18.55" hidden="false" customHeight="false" outlineLevel="0" collapsed="false">
      <c r="A1" s="1" t="s">
        <v>19</v>
      </c>
    </row>
    <row r="2" customFormat="false" ht="15" hidden="false" customHeight="false" outlineLevel="0" collapsed="false">
      <c r="A2" s="2" t="s">
        <v>20</v>
      </c>
    </row>
    <row r="4" customFormat="false" ht="15" hidden="false" customHeight="false" outlineLevel="0" collapsed="false">
      <c r="A4" s="8" t="s">
        <v>21</v>
      </c>
      <c r="B4" s="9"/>
      <c r="C4" s="9"/>
      <c r="D4" s="8" t="s">
        <v>22</v>
      </c>
      <c r="E4" s="9"/>
      <c r="F4" s="9"/>
    </row>
    <row r="5" customFormat="false" ht="19.5" hidden="false" customHeight="true" outlineLevel="0" collapsed="false">
      <c r="A5" s="10" t="s">
        <v>23</v>
      </c>
      <c r="B5" s="10"/>
      <c r="C5" s="10"/>
      <c r="D5" s="10"/>
      <c r="E5" s="11"/>
    </row>
    <row r="6" customFormat="false" ht="15" hidden="false" customHeight="true" outlineLevel="0" collapsed="false">
      <c r="A6" s="7" t="s">
        <v>24</v>
      </c>
      <c r="B6" s="7"/>
      <c r="C6" s="7"/>
      <c r="D6" s="7"/>
      <c r="E6" s="7"/>
      <c r="F6" s="7"/>
    </row>
    <row r="7" customFormat="false" ht="30" hidden="false" customHeight="true" outlineLevel="0" collapsed="false">
      <c r="A7" s="4" t="s">
        <v>25</v>
      </c>
      <c r="B7" s="4" t="s">
        <v>26</v>
      </c>
      <c r="C7" s="4" t="s">
        <v>27</v>
      </c>
      <c r="D7" s="4" t="s">
        <v>28</v>
      </c>
      <c r="E7" s="4" t="s">
        <v>29</v>
      </c>
      <c r="F7" s="4" t="s">
        <v>30</v>
      </c>
    </row>
    <row r="8" customFormat="false" ht="15" hidden="false" customHeight="false" outlineLevel="0" collapsed="false">
      <c r="A8" s="12"/>
      <c r="B8" s="9"/>
      <c r="C8" s="9"/>
      <c r="D8" s="11"/>
      <c r="E8" s="11"/>
      <c r="F8" s="13" t="str">
        <f aca="false">IF(AND(D8="",E8=""),"",$E$5+SUM($D$8:D8)-SUM($E$8:E8))</f>
        <v/>
      </c>
    </row>
    <row r="9" customFormat="false" ht="15" hidden="false" customHeight="false" outlineLevel="0" collapsed="false">
      <c r="A9" s="12"/>
      <c r="B9" s="9"/>
      <c r="C9" s="9"/>
      <c r="D9" s="11"/>
      <c r="E9" s="11"/>
      <c r="F9" s="13" t="str">
        <f aca="false">IF(AND(D9="",E9=""),"",$E$5+SUM($D$8:D9)-SUM($E$8:E9))</f>
        <v/>
      </c>
    </row>
    <row r="10" customFormat="false" ht="15" hidden="false" customHeight="false" outlineLevel="0" collapsed="false">
      <c r="A10" s="12"/>
      <c r="B10" s="9"/>
      <c r="C10" s="9"/>
      <c r="D10" s="11"/>
      <c r="E10" s="11"/>
      <c r="F10" s="13" t="str">
        <f aca="false">IF(AND(D10="",E10=""),"",$E$5+SUM($D$8:D10)-SUM($E$8:E10))</f>
        <v/>
      </c>
    </row>
    <row r="11" customFormat="false" ht="15" hidden="false" customHeight="false" outlineLevel="0" collapsed="false">
      <c r="A11" s="12"/>
      <c r="B11" s="9"/>
      <c r="C11" s="9"/>
      <c r="D11" s="11"/>
      <c r="E11" s="11"/>
      <c r="F11" s="13" t="str">
        <f aca="false">IF(AND(D11="",E11=""),"",$E$5+SUM($D$8:D11)-SUM($E$8:E11))</f>
        <v/>
      </c>
    </row>
    <row r="12" customFormat="false" ht="15" hidden="false" customHeight="false" outlineLevel="0" collapsed="false">
      <c r="A12" s="12"/>
      <c r="B12" s="9"/>
      <c r="C12" s="9"/>
      <c r="D12" s="11"/>
      <c r="E12" s="11"/>
      <c r="F12" s="13" t="str">
        <f aca="false">IF(AND(D12="",E12=""),"",$E$5+SUM($D$8:D12)-SUM($E$8:E12))</f>
        <v/>
      </c>
    </row>
    <row r="13" customFormat="false" ht="15" hidden="false" customHeight="false" outlineLevel="0" collapsed="false">
      <c r="A13" s="12"/>
      <c r="B13" s="9"/>
      <c r="C13" s="9"/>
      <c r="D13" s="11"/>
      <c r="E13" s="11"/>
      <c r="F13" s="13" t="str">
        <f aca="false">IF(AND(D13="",E13=""),"",$E$5+SUM($D$8:D13)-SUM($E$8:E13))</f>
        <v/>
      </c>
    </row>
    <row r="14" customFormat="false" ht="15" hidden="false" customHeight="false" outlineLevel="0" collapsed="false">
      <c r="A14" s="12"/>
      <c r="B14" s="9"/>
      <c r="C14" s="9"/>
      <c r="D14" s="11"/>
      <c r="E14" s="11"/>
      <c r="F14" s="13" t="str">
        <f aca="false">IF(AND(D14="",E14=""),"",$E$5+SUM($D$8:D14)-SUM($E$8:E14))</f>
        <v/>
      </c>
    </row>
    <row r="15" customFormat="false" ht="15" hidden="false" customHeight="false" outlineLevel="0" collapsed="false">
      <c r="A15" s="12"/>
      <c r="B15" s="9"/>
      <c r="C15" s="9"/>
      <c r="D15" s="11"/>
      <c r="E15" s="11"/>
      <c r="F15" s="13" t="str">
        <f aca="false">IF(AND(D15="",E15=""),"",$E$5+SUM($D$8:D15)-SUM($E$8:E15))</f>
        <v/>
      </c>
    </row>
    <row r="16" customFormat="false" ht="15" hidden="false" customHeight="false" outlineLevel="0" collapsed="false">
      <c r="A16" s="12"/>
      <c r="B16" s="9"/>
      <c r="C16" s="9"/>
      <c r="D16" s="11"/>
      <c r="E16" s="11"/>
      <c r="F16" s="13" t="str">
        <f aca="false">IF(AND(D16="",E16=""),"",$E$5+SUM($D$8:D16)-SUM($E$8:E16))</f>
        <v/>
      </c>
    </row>
    <row r="17" customFormat="false" ht="15" hidden="false" customHeight="false" outlineLevel="0" collapsed="false">
      <c r="A17" s="12"/>
      <c r="B17" s="9"/>
      <c r="C17" s="9"/>
      <c r="D17" s="11"/>
      <c r="E17" s="11"/>
      <c r="F17" s="13" t="str">
        <f aca="false">IF(AND(D17="",E17=""),"",$E$5+SUM($D$8:D17)-SUM($E$8:E17))</f>
        <v/>
      </c>
    </row>
    <row r="18" customFormat="false" ht="15" hidden="false" customHeight="false" outlineLevel="0" collapsed="false">
      <c r="A18" s="12"/>
      <c r="B18" s="9"/>
      <c r="C18" s="9"/>
      <c r="D18" s="11"/>
      <c r="E18" s="11"/>
      <c r="F18" s="13" t="str">
        <f aca="false">IF(AND(D18="",E18=""),"",$E$5+SUM($D$8:D18)-SUM($E$8:E18))</f>
        <v/>
      </c>
    </row>
    <row r="19" customFormat="false" ht="15" hidden="false" customHeight="false" outlineLevel="0" collapsed="false">
      <c r="A19" s="12"/>
      <c r="B19" s="9"/>
      <c r="C19" s="9"/>
      <c r="D19" s="11"/>
      <c r="E19" s="11"/>
      <c r="F19" s="13" t="str">
        <f aca="false">IF(AND(D19="",E19=""),"",$E$5+SUM($D$8:D19)-SUM($E$8:E19))</f>
        <v/>
      </c>
    </row>
    <row r="20" customFormat="false" ht="15" hidden="false" customHeight="false" outlineLevel="0" collapsed="false">
      <c r="A20" s="12"/>
      <c r="B20" s="9"/>
      <c r="C20" s="9"/>
      <c r="D20" s="11"/>
      <c r="E20" s="11"/>
      <c r="F20" s="13" t="str">
        <f aca="false">IF(AND(D20="",E20=""),"",$E$5+SUM($D$8:D20)-SUM($E$8:E20))</f>
        <v/>
      </c>
    </row>
    <row r="21" customFormat="false" ht="15" hidden="false" customHeight="false" outlineLevel="0" collapsed="false">
      <c r="A21" s="12"/>
      <c r="B21" s="9"/>
      <c r="C21" s="9"/>
      <c r="D21" s="11"/>
      <c r="E21" s="11"/>
      <c r="F21" s="13" t="str">
        <f aca="false">IF(AND(D21="",E21=""),"",$E$5+SUM($D$8:D21)-SUM($E$8:E21))</f>
        <v/>
      </c>
    </row>
    <row r="22" customFormat="false" ht="15" hidden="false" customHeight="false" outlineLevel="0" collapsed="false">
      <c r="A22" s="12"/>
      <c r="B22" s="9"/>
      <c r="C22" s="9"/>
      <c r="D22" s="11"/>
      <c r="E22" s="11"/>
      <c r="F22" s="13" t="str">
        <f aca="false">IF(AND(D22="",E22=""),"",$E$5+SUM($D$8:D22)-SUM($E$8:E22))</f>
        <v/>
      </c>
    </row>
    <row r="23" customFormat="false" ht="15" hidden="false" customHeight="false" outlineLevel="0" collapsed="false">
      <c r="A23" s="12"/>
      <c r="B23" s="9"/>
      <c r="C23" s="9"/>
      <c r="D23" s="11"/>
      <c r="E23" s="11"/>
      <c r="F23" s="13" t="str">
        <f aca="false">IF(AND(D23="",E23=""),"",$E$5+SUM($D$8:D23)-SUM($E$8:E23))</f>
        <v/>
      </c>
    </row>
    <row r="24" customFormat="false" ht="15" hidden="false" customHeight="false" outlineLevel="0" collapsed="false">
      <c r="A24" s="12"/>
      <c r="B24" s="9"/>
      <c r="C24" s="9"/>
      <c r="D24" s="11"/>
      <c r="E24" s="11"/>
      <c r="F24" s="13" t="str">
        <f aca="false">IF(AND(D24="",E24=""),"",$E$5+SUM($D$8:D24)-SUM($E$8:E24))</f>
        <v/>
      </c>
    </row>
    <row r="25" customFormat="false" ht="15" hidden="false" customHeight="false" outlineLevel="0" collapsed="false">
      <c r="A25" s="12"/>
      <c r="B25" s="9"/>
      <c r="C25" s="9"/>
      <c r="D25" s="11"/>
      <c r="E25" s="11"/>
      <c r="F25" s="13" t="str">
        <f aca="false">IF(AND(D25="",E25=""),"",$E$5+SUM($D$8:D25)-SUM($E$8:E25))</f>
        <v/>
      </c>
    </row>
    <row r="26" customFormat="false" ht="15" hidden="false" customHeight="false" outlineLevel="0" collapsed="false">
      <c r="A26" s="12"/>
      <c r="B26" s="9"/>
      <c r="C26" s="9"/>
      <c r="D26" s="11"/>
      <c r="E26" s="11"/>
      <c r="F26" s="13" t="str">
        <f aca="false">IF(AND(D26="",E26=""),"",$E$5+SUM($D$8:D26)-SUM($E$8:E26))</f>
        <v/>
      </c>
    </row>
    <row r="27" customFormat="false" ht="15" hidden="false" customHeight="false" outlineLevel="0" collapsed="false">
      <c r="A27" s="12"/>
      <c r="B27" s="9"/>
      <c r="C27" s="9"/>
      <c r="D27" s="11"/>
      <c r="E27" s="11"/>
      <c r="F27" s="13" t="str">
        <f aca="false">IF(AND(D27="",E27=""),"",$E$5+SUM($D$8:D27)-SUM($E$8:E27))</f>
        <v/>
      </c>
    </row>
    <row r="28" customFormat="false" ht="15" hidden="false" customHeight="false" outlineLevel="0" collapsed="false">
      <c r="A28" s="12"/>
      <c r="B28" s="9"/>
      <c r="C28" s="9"/>
      <c r="D28" s="11"/>
      <c r="E28" s="11"/>
      <c r="F28" s="13" t="str">
        <f aca="false">IF(AND(D28="",E28=""),"",$E$5+SUM($D$8:D28)-SUM($E$8:E28))</f>
        <v/>
      </c>
    </row>
    <row r="29" customFormat="false" ht="15" hidden="false" customHeight="false" outlineLevel="0" collapsed="false">
      <c r="A29" s="12"/>
      <c r="B29" s="9"/>
      <c r="C29" s="9"/>
      <c r="D29" s="11"/>
      <c r="E29" s="11"/>
      <c r="F29" s="13" t="str">
        <f aca="false">IF(AND(D29="",E29=""),"",$E$5+SUM($D$8:D29)-SUM($E$8:E29))</f>
        <v/>
      </c>
    </row>
    <row r="30" customFormat="false" ht="15" hidden="false" customHeight="false" outlineLevel="0" collapsed="false">
      <c r="A30" s="12"/>
      <c r="B30" s="9"/>
      <c r="C30" s="9"/>
      <c r="D30" s="11"/>
      <c r="E30" s="11"/>
      <c r="F30" s="13" t="str">
        <f aca="false">IF(AND(D30="",E30=""),"",$E$5+SUM($D$8:D30)-SUM($E$8:E30))</f>
        <v/>
      </c>
    </row>
    <row r="31" customFormat="false" ht="15" hidden="false" customHeight="false" outlineLevel="0" collapsed="false">
      <c r="A31" s="12"/>
      <c r="B31" s="9"/>
      <c r="C31" s="9"/>
      <c r="D31" s="11"/>
      <c r="E31" s="11"/>
      <c r="F31" s="13" t="str">
        <f aca="false">IF(AND(D31="",E31=""),"",$E$5+SUM($D$8:D31)-SUM($E$8:E31))</f>
        <v/>
      </c>
    </row>
    <row r="32" customFormat="false" ht="15" hidden="false" customHeight="false" outlineLevel="0" collapsed="false">
      <c r="A32" s="12"/>
      <c r="B32" s="9"/>
      <c r="C32" s="9"/>
      <c r="D32" s="11"/>
      <c r="E32" s="11"/>
      <c r="F32" s="13" t="str">
        <f aca="false">IF(AND(D32="",E32=""),"",$E$5+SUM($D$8:D32)-SUM($E$8:E32))</f>
        <v/>
      </c>
    </row>
    <row r="33" customFormat="false" ht="15" hidden="false" customHeight="false" outlineLevel="0" collapsed="false">
      <c r="A33" s="12"/>
      <c r="B33" s="9"/>
      <c r="C33" s="9"/>
      <c r="D33" s="11"/>
      <c r="E33" s="11"/>
      <c r="F33" s="13" t="str">
        <f aca="false">IF(AND(D33="",E33=""),"",$E$5+SUM($D$8:D33)-SUM($E$8:E33))</f>
        <v/>
      </c>
    </row>
    <row r="34" customFormat="false" ht="15" hidden="false" customHeight="false" outlineLevel="0" collapsed="false">
      <c r="A34" s="12"/>
      <c r="B34" s="9"/>
      <c r="C34" s="9"/>
      <c r="D34" s="11"/>
      <c r="E34" s="11"/>
      <c r="F34" s="13" t="str">
        <f aca="false">IF(AND(D34="",E34=""),"",$E$5+SUM($D$8:D34)-SUM($E$8:E34))</f>
        <v/>
      </c>
    </row>
    <row r="35" customFormat="false" ht="15" hidden="false" customHeight="false" outlineLevel="0" collapsed="false">
      <c r="A35" s="12"/>
      <c r="B35" s="9"/>
      <c r="C35" s="9"/>
      <c r="D35" s="11"/>
      <c r="E35" s="11"/>
      <c r="F35" s="13" t="str">
        <f aca="false">IF(AND(D35="",E35=""),"",$E$5+SUM($D$8:D35)-SUM($E$8:E35))</f>
        <v/>
      </c>
    </row>
    <row r="36" customFormat="false" ht="15" hidden="false" customHeight="false" outlineLevel="0" collapsed="false">
      <c r="A36" s="12"/>
      <c r="B36" s="9"/>
      <c r="C36" s="9"/>
      <c r="D36" s="11"/>
      <c r="E36" s="11"/>
      <c r="F36" s="13" t="str">
        <f aca="false">IF(AND(D36="",E36=""),"",$E$5+SUM($D$8:D36)-SUM($E$8:E36))</f>
        <v/>
      </c>
    </row>
    <row r="37" customFormat="false" ht="15" hidden="false" customHeight="false" outlineLevel="0" collapsed="false">
      <c r="A37" s="12"/>
      <c r="B37" s="9"/>
      <c r="C37" s="9"/>
      <c r="D37" s="11"/>
      <c r="E37" s="11"/>
      <c r="F37" s="13" t="str">
        <f aca="false">IF(AND(D37="",E37=""),"",$E$5+SUM($D$8:D37)-SUM($E$8:E37))</f>
        <v/>
      </c>
    </row>
    <row r="38" customFormat="false" ht="15" hidden="false" customHeight="false" outlineLevel="0" collapsed="false">
      <c r="A38" s="12"/>
      <c r="B38" s="9"/>
      <c r="C38" s="9"/>
      <c r="D38" s="11"/>
      <c r="E38" s="11"/>
      <c r="F38" s="13" t="str">
        <f aca="false">IF(AND(D38="",E38=""),"",$E$5+SUM($D$8:D38)-SUM($E$8:E38))</f>
        <v/>
      </c>
    </row>
    <row r="39" customFormat="false" ht="15" hidden="false" customHeight="false" outlineLevel="0" collapsed="false">
      <c r="A39" s="12"/>
      <c r="B39" s="9"/>
      <c r="C39" s="9"/>
      <c r="D39" s="11"/>
      <c r="E39" s="11"/>
      <c r="F39" s="13" t="str">
        <f aca="false">IF(AND(D39="",E39=""),"",$E$5+SUM($D$8:D39)-SUM($E$8:E39))</f>
        <v/>
      </c>
    </row>
    <row r="40" customFormat="false" ht="15" hidden="false" customHeight="false" outlineLevel="0" collapsed="false">
      <c r="A40" s="12"/>
      <c r="B40" s="9"/>
      <c r="C40" s="9"/>
      <c r="D40" s="11"/>
      <c r="E40" s="11"/>
      <c r="F40" s="13" t="str">
        <f aca="false">IF(AND(D40="",E40=""),"",$E$5+SUM($D$8:D40)-SUM($E$8:E40))</f>
        <v/>
      </c>
    </row>
    <row r="41" customFormat="false" ht="15" hidden="false" customHeight="false" outlineLevel="0" collapsed="false">
      <c r="A41" s="12"/>
      <c r="B41" s="9"/>
      <c r="C41" s="9"/>
      <c r="D41" s="11"/>
      <c r="E41" s="11"/>
      <c r="F41" s="13" t="str">
        <f aca="false">IF(AND(D41="",E41=""),"",$E$5+SUM($D$8:D41)-SUM($E$8:E41))</f>
        <v/>
      </c>
    </row>
    <row r="42" customFormat="false" ht="15" hidden="false" customHeight="false" outlineLevel="0" collapsed="false">
      <c r="A42" s="12"/>
      <c r="B42" s="9"/>
      <c r="C42" s="9"/>
      <c r="D42" s="11"/>
      <c r="E42" s="11"/>
      <c r="F42" s="13" t="str">
        <f aca="false">IF(AND(D42="",E42=""),"",$E$5+SUM($D$8:D42)-SUM($E$8:E42))</f>
        <v/>
      </c>
    </row>
    <row r="43" customFormat="false" ht="15" hidden="false" customHeight="false" outlineLevel="0" collapsed="false">
      <c r="A43" s="12"/>
      <c r="B43" s="9"/>
      <c r="C43" s="9"/>
      <c r="D43" s="11"/>
      <c r="E43" s="11"/>
      <c r="F43" s="13" t="str">
        <f aca="false">IF(AND(D43="",E43=""),"",$E$5+SUM($D$8:D43)-SUM($E$8:E43))</f>
        <v/>
      </c>
    </row>
    <row r="44" customFormat="false" ht="15" hidden="false" customHeight="false" outlineLevel="0" collapsed="false">
      <c r="A44" s="12"/>
      <c r="B44" s="9"/>
      <c r="C44" s="9"/>
      <c r="D44" s="11"/>
      <c r="E44" s="11"/>
      <c r="F44" s="13" t="str">
        <f aca="false">IF(AND(D44="",E44=""),"",$E$5+SUM($D$8:D44)-SUM($E$8:E44))</f>
        <v/>
      </c>
    </row>
    <row r="45" customFormat="false" ht="15" hidden="false" customHeight="false" outlineLevel="0" collapsed="false">
      <c r="A45" s="12"/>
      <c r="B45" s="9"/>
      <c r="C45" s="9"/>
      <c r="D45" s="11"/>
      <c r="E45" s="11"/>
      <c r="F45" s="13" t="str">
        <f aca="false">IF(AND(D45="",E45=""),"",$E$5+SUM($D$8:D45)-SUM($E$8:E45))</f>
        <v/>
      </c>
    </row>
    <row r="46" customFormat="false" ht="15" hidden="false" customHeight="false" outlineLevel="0" collapsed="false">
      <c r="A46" s="12"/>
      <c r="B46" s="9"/>
      <c r="C46" s="9"/>
      <c r="D46" s="11"/>
      <c r="E46" s="11"/>
      <c r="F46" s="13" t="str">
        <f aca="false">IF(AND(D46="",E46=""),"",$E$5+SUM($D$8:D46)-SUM($E$8:E46))</f>
        <v/>
      </c>
    </row>
    <row r="47" customFormat="false" ht="15" hidden="false" customHeight="false" outlineLevel="0" collapsed="false">
      <c r="A47" s="12"/>
      <c r="B47" s="9"/>
      <c r="C47" s="9"/>
      <c r="D47" s="11"/>
      <c r="E47" s="11"/>
      <c r="F47" s="13" t="str">
        <f aca="false">IF(AND(D47="",E47=""),"",$E$5+SUM($D$8:D47)-SUM($E$8:E47))</f>
        <v/>
      </c>
    </row>
    <row r="48" customFormat="false" ht="15" hidden="false" customHeight="false" outlineLevel="0" collapsed="false">
      <c r="A48" s="12"/>
      <c r="B48" s="9"/>
      <c r="C48" s="9"/>
      <c r="D48" s="11"/>
      <c r="E48" s="11"/>
      <c r="F48" s="13" t="str">
        <f aca="false">IF(AND(D48="",E48=""),"",$E$5+SUM($D$8:D48)-SUM($E$8:E48))</f>
        <v/>
      </c>
    </row>
    <row r="49" customFormat="false" ht="15" hidden="false" customHeight="false" outlineLevel="0" collapsed="false">
      <c r="A49" s="12"/>
      <c r="B49" s="9"/>
      <c r="C49" s="9"/>
      <c r="D49" s="11"/>
      <c r="E49" s="11"/>
      <c r="F49" s="13" t="str">
        <f aca="false">IF(AND(D49="",E49=""),"",$E$5+SUM($D$8:D49)-SUM($E$8:E49))</f>
        <v/>
      </c>
    </row>
    <row r="50" customFormat="false" ht="15" hidden="false" customHeight="false" outlineLevel="0" collapsed="false">
      <c r="A50" s="12"/>
      <c r="B50" s="9"/>
      <c r="C50" s="9"/>
      <c r="D50" s="11"/>
      <c r="E50" s="11"/>
      <c r="F50" s="13" t="str">
        <f aca="false">IF(AND(D50="",E50=""),"",$E$5+SUM($D$8:D50)-SUM($E$8:E50))</f>
        <v/>
      </c>
    </row>
    <row r="51" customFormat="false" ht="15" hidden="false" customHeight="false" outlineLevel="0" collapsed="false">
      <c r="A51" s="12"/>
      <c r="B51" s="9"/>
      <c r="C51" s="9"/>
      <c r="D51" s="11"/>
      <c r="E51" s="11"/>
      <c r="F51" s="13" t="str">
        <f aca="false">IF(AND(D51="",E51=""),"",$E$5+SUM($D$8:D51)-SUM($E$8:E51))</f>
        <v/>
      </c>
    </row>
    <row r="52" customFormat="false" ht="15" hidden="false" customHeight="false" outlineLevel="0" collapsed="false">
      <c r="A52" s="12"/>
      <c r="B52" s="9"/>
      <c r="C52" s="9"/>
      <c r="D52" s="11"/>
      <c r="E52" s="11"/>
      <c r="F52" s="13" t="str">
        <f aca="false">IF(AND(D52="",E52=""),"",$E$5+SUM($D$8:D52)-SUM($E$8:E52))</f>
        <v/>
      </c>
    </row>
    <row r="53" customFormat="false" ht="15" hidden="false" customHeight="false" outlineLevel="0" collapsed="false">
      <c r="A53" s="12"/>
      <c r="B53" s="9"/>
      <c r="C53" s="9"/>
      <c r="D53" s="11"/>
      <c r="E53" s="11"/>
      <c r="F53" s="13" t="str">
        <f aca="false">IF(AND(D53="",E53=""),"",$E$5+SUM($D$8:D53)-SUM($E$8:E53))</f>
        <v/>
      </c>
    </row>
    <row r="54" customFormat="false" ht="15" hidden="false" customHeight="false" outlineLevel="0" collapsed="false">
      <c r="A54" s="12"/>
      <c r="B54" s="9"/>
      <c r="C54" s="9"/>
      <c r="D54" s="11"/>
      <c r="E54" s="11"/>
      <c r="F54" s="13" t="str">
        <f aca="false">IF(AND(D54="",E54=""),"",$E$5+SUM($D$8:D54)-SUM($E$8:E54))</f>
        <v/>
      </c>
    </row>
    <row r="55" customFormat="false" ht="15" hidden="false" customHeight="false" outlineLevel="0" collapsed="false">
      <c r="A55" s="12"/>
      <c r="B55" s="9"/>
      <c r="C55" s="9"/>
      <c r="D55" s="11"/>
      <c r="E55" s="11"/>
      <c r="F55" s="13" t="str">
        <f aca="false">IF(AND(D55="",E55=""),"",$E$5+SUM($D$8:D55)-SUM($E$8:E55))</f>
        <v/>
      </c>
    </row>
    <row r="56" customFormat="false" ht="15" hidden="false" customHeight="false" outlineLevel="0" collapsed="false">
      <c r="A56" s="12"/>
      <c r="B56" s="9"/>
      <c r="C56" s="9"/>
      <c r="D56" s="11"/>
      <c r="E56" s="11"/>
      <c r="F56" s="13" t="str">
        <f aca="false">IF(AND(D56="",E56=""),"",$E$5+SUM($D$8:D56)-SUM($E$8:E56))</f>
        <v/>
      </c>
    </row>
    <row r="57" customFormat="false" ht="15" hidden="false" customHeight="false" outlineLevel="0" collapsed="false">
      <c r="A57" s="12"/>
      <c r="B57" s="9"/>
      <c r="C57" s="9"/>
      <c r="D57" s="11"/>
      <c r="E57" s="11"/>
      <c r="F57" s="13" t="str">
        <f aca="false">IF(AND(D57="",E57=""),"",$E$5+SUM($D$8:D57)-SUM($E$8:E57))</f>
        <v/>
      </c>
    </row>
    <row r="58" customFormat="false" ht="15" hidden="false" customHeight="false" outlineLevel="0" collapsed="false">
      <c r="A58" s="12"/>
      <c r="B58" s="9"/>
      <c r="C58" s="9"/>
      <c r="D58" s="11"/>
      <c r="E58" s="11"/>
      <c r="F58" s="13" t="str">
        <f aca="false">IF(AND(D58="",E58=""),"",$E$5+SUM($D$8:D58)-SUM($E$8:E58))</f>
        <v/>
      </c>
    </row>
    <row r="59" customFormat="false" ht="15" hidden="false" customHeight="false" outlineLevel="0" collapsed="false">
      <c r="A59" s="12"/>
      <c r="B59" s="9"/>
      <c r="C59" s="9"/>
      <c r="D59" s="11"/>
      <c r="E59" s="11"/>
      <c r="F59" s="13" t="str">
        <f aca="false">IF(AND(D59="",E59=""),"",$E$5+SUM($D$8:D59)-SUM($E$8:E59))</f>
        <v/>
      </c>
    </row>
    <row r="60" customFormat="false" ht="15" hidden="false" customHeight="false" outlineLevel="0" collapsed="false">
      <c r="A60" s="12"/>
      <c r="B60" s="9"/>
      <c r="C60" s="9"/>
      <c r="D60" s="11"/>
      <c r="E60" s="11"/>
      <c r="F60" s="13" t="str">
        <f aca="false">IF(AND(D60="",E60=""),"",$E$5+SUM($D$8:D60)-SUM($E$8:E60))</f>
        <v/>
      </c>
    </row>
    <row r="61" customFormat="false" ht="15" hidden="false" customHeight="false" outlineLevel="0" collapsed="false">
      <c r="A61" s="12"/>
      <c r="B61" s="9"/>
      <c r="C61" s="9"/>
      <c r="D61" s="11"/>
      <c r="E61" s="11"/>
      <c r="F61" s="13" t="str">
        <f aca="false">IF(AND(D61="",E61=""),"",$E$5+SUM($D$8:D61)-SUM($E$8:E61))</f>
        <v/>
      </c>
    </row>
    <row r="62" customFormat="false" ht="15" hidden="false" customHeight="false" outlineLevel="0" collapsed="false">
      <c r="A62" s="12"/>
      <c r="B62" s="9"/>
      <c r="C62" s="9"/>
      <c r="D62" s="11"/>
      <c r="E62" s="11"/>
      <c r="F62" s="13" t="str">
        <f aca="false">IF(AND(D62="",E62=""),"",$E$5+SUM($D$8:D62)-SUM($E$8:E62))</f>
        <v/>
      </c>
    </row>
    <row r="63" customFormat="false" ht="15" hidden="false" customHeight="false" outlineLevel="0" collapsed="false">
      <c r="A63" s="12"/>
      <c r="B63" s="9"/>
      <c r="C63" s="9"/>
      <c r="D63" s="11"/>
      <c r="E63" s="11"/>
      <c r="F63" s="13" t="str">
        <f aca="false">IF(AND(D63="",E63=""),"",$E$5+SUM($D$8:D63)-SUM($E$8:E63))</f>
        <v/>
      </c>
    </row>
    <row r="64" customFormat="false" ht="15" hidden="false" customHeight="false" outlineLevel="0" collapsed="false">
      <c r="A64" s="12"/>
      <c r="B64" s="9"/>
      <c r="C64" s="9"/>
      <c r="D64" s="11"/>
      <c r="E64" s="11"/>
      <c r="F64" s="13" t="str">
        <f aca="false">IF(AND(D64="",E64=""),"",$E$5+SUM($D$8:D64)-SUM($E$8:E64))</f>
        <v/>
      </c>
    </row>
    <row r="65" customFormat="false" ht="15" hidden="false" customHeight="false" outlineLevel="0" collapsed="false">
      <c r="A65" s="12"/>
      <c r="B65" s="9"/>
      <c r="C65" s="9"/>
      <c r="D65" s="11"/>
      <c r="E65" s="11"/>
      <c r="F65" s="13" t="str">
        <f aca="false">IF(AND(D65="",E65=""),"",$E$5+SUM($D$8:D65)-SUM($E$8:E65))</f>
        <v/>
      </c>
    </row>
    <row r="66" customFormat="false" ht="15" hidden="false" customHeight="false" outlineLevel="0" collapsed="false">
      <c r="A66" s="12"/>
      <c r="B66" s="9"/>
      <c r="C66" s="9"/>
      <c r="D66" s="11"/>
      <c r="E66" s="11"/>
      <c r="F66" s="13" t="str">
        <f aca="false">IF(AND(D66="",E66=""),"",$E$5+SUM($D$8:D66)-SUM($E$8:E66))</f>
        <v/>
      </c>
    </row>
    <row r="67" customFormat="false" ht="15" hidden="false" customHeight="false" outlineLevel="0" collapsed="false">
      <c r="A67" s="12"/>
      <c r="B67" s="9"/>
      <c r="C67" s="9"/>
      <c r="D67" s="11"/>
      <c r="E67" s="11"/>
      <c r="F67" s="13" t="str">
        <f aca="false">IF(AND(D67="",E67=""),"",$E$5+SUM($D$8:D67)-SUM($E$8:E67))</f>
        <v/>
      </c>
    </row>
    <row r="69" customFormat="false" ht="15" hidden="false" customHeight="false" outlineLevel="0" collapsed="false">
      <c r="A69" s="14" t="s">
        <v>31</v>
      </c>
      <c r="B69" s="14"/>
      <c r="C69" s="14"/>
      <c r="D69" s="14"/>
      <c r="E69" s="14"/>
      <c r="F69" s="14"/>
    </row>
    <row r="70" customFormat="false" ht="15" hidden="false" customHeight="true" outlineLevel="0" collapsed="false">
      <c r="A70" s="6" t="s">
        <v>32</v>
      </c>
      <c r="B70" s="6"/>
      <c r="C70" s="6"/>
      <c r="D70" s="6"/>
      <c r="E70" s="6"/>
      <c r="F70" s="13" t="n">
        <f aca="false">SUM(D8:D67)</f>
        <v>0</v>
      </c>
    </row>
    <row r="71" customFormat="false" ht="15" hidden="false" customHeight="true" outlineLevel="0" collapsed="false">
      <c r="A71" s="6" t="s">
        <v>33</v>
      </c>
      <c r="B71" s="6"/>
      <c r="C71" s="6"/>
      <c r="D71" s="6"/>
      <c r="E71" s="6"/>
      <c r="F71" s="13" t="n">
        <f aca="false">SUM(E8:E67)</f>
        <v>0</v>
      </c>
    </row>
    <row r="72" customFormat="false" ht="15" hidden="false" customHeight="true" outlineLevel="0" collapsed="false">
      <c r="A72" s="6" t="s">
        <v>34</v>
      </c>
      <c r="B72" s="6"/>
      <c r="C72" s="6"/>
      <c r="D72" s="6"/>
      <c r="E72" s="6"/>
      <c r="F72" s="15" t="n">
        <f aca="false">E5+SUM(D8:D67)-SUM(E8:E67)</f>
        <v>0</v>
      </c>
    </row>
    <row r="73" customFormat="false" ht="15" hidden="false" customHeight="true" outlineLevel="0" collapsed="false">
      <c r="A73" s="6" t="s">
        <v>35</v>
      </c>
      <c r="B73" s="6"/>
      <c r="C73" s="6"/>
      <c r="D73" s="6"/>
      <c r="E73" s="6"/>
      <c r="F73" s="13" t="n">
        <f aca="false">SUMIF(C8:C67,"Vente",D8:D67)</f>
        <v>0</v>
      </c>
    </row>
    <row r="74" customFormat="false" ht="15" hidden="false" customHeight="true" outlineLevel="0" collapsed="false">
      <c r="A74" s="6" t="s">
        <v>36</v>
      </c>
      <c r="B74" s="6"/>
      <c r="C74" s="6"/>
      <c r="D74" s="6"/>
      <c r="E74" s="6"/>
      <c r="F74" s="13" t="n">
        <f aca="false">SUMIF(C8:C67,"Achat de marchandise ou matière",E8:E67)</f>
        <v>0</v>
      </c>
    </row>
    <row r="75" customFormat="false" ht="15" hidden="false" customHeight="true" outlineLevel="0" collapsed="false">
      <c r="A75" s="6" t="s">
        <v>37</v>
      </c>
      <c r="B75" s="6"/>
      <c r="C75" s="6"/>
      <c r="D75" s="6"/>
      <c r="E75" s="6"/>
      <c r="F75" s="13" t="n">
        <f aca="false">SUMIF(C8:C67,"Charge",E8:E67)+SUMIF(C8:C67,"Salaire ou main-d'œuvre",E8:E67)</f>
        <v>0</v>
      </c>
    </row>
    <row r="76" customFormat="false" ht="15" hidden="false" customHeight="true" outlineLevel="0" collapsed="false">
      <c r="A76" s="6" t="s">
        <v>38</v>
      </c>
      <c r="B76" s="6"/>
      <c r="C76" s="6"/>
      <c r="D76" s="6"/>
      <c r="E76" s="6"/>
      <c r="F76" s="13" t="n">
        <f aca="false">SUMIF(C8:C67,"Prélèvement personnel",E8:E67)</f>
        <v>0</v>
      </c>
    </row>
    <row r="77" customFormat="false" ht="15" hidden="false" customHeight="true" outlineLevel="0" collapsed="false">
      <c r="A77" s="6" t="s">
        <v>39</v>
      </c>
      <c r="B77" s="6"/>
      <c r="C77" s="6"/>
      <c r="D77" s="6"/>
      <c r="E77" s="6"/>
      <c r="F77" s="15" t="n">
        <f aca="false">F73-F74-F75</f>
        <v>0</v>
      </c>
    </row>
    <row r="78" customFormat="false" ht="15" hidden="false" customHeight="true" outlineLevel="0" collapsed="false">
      <c r="A78" s="6" t="s">
        <v>40</v>
      </c>
      <c r="B78" s="6"/>
      <c r="C78" s="6"/>
      <c r="D78" s="6"/>
      <c r="E78" s="6"/>
      <c r="F78" s="11"/>
    </row>
    <row r="79" customFormat="false" ht="15" hidden="false" customHeight="true" outlineLevel="0" collapsed="false">
      <c r="A79" s="16" t="s">
        <v>41</v>
      </c>
      <c r="B79" s="16"/>
      <c r="C79" s="16"/>
      <c r="D79" s="16"/>
      <c r="E79" s="16"/>
      <c r="F79" s="15" t="str">
        <f aca="false">IF(F78="","",F78-F72)</f>
        <v/>
      </c>
    </row>
    <row r="81" customFormat="false" ht="39.75" hidden="false" customHeight="true" outlineLevel="0" collapsed="false">
      <c r="A81" s="7" t="s">
        <v>42</v>
      </c>
      <c r="B81" s="7"/>
      <c r="C81" s="7"/>
      <c r="D81" s="7"/>
      <c r="E81" s="7"/>
      <c r="F81" s="7"/>
    </row>
  </sheetData>
  <mergeCells count="16">
    <mergeCell ref="B4:C4"/>
    <mergeCell ref="E4:F4"/>
    <mergeCell ref="A5:D5"/>
    <mergeCell ref="A6:F6"/>
    <mergeCell ref="A69:F69"/>
    <mergeCell ref="A70:E70"/>
    <mergeCell ref="A71:E71"/>
    <mergeCell ref="A72:E72"/>
    <mergeCell ref="A73:E73"/>
    <mergeCell ref="A74:E74"/>
    <mergeCell ref="A75:E75"/>
    <mergeCell ref="A76:E76"/>
    <mergeCell ref="A77:E77"/>
    <mergeCell ref="A78:E78"/>
    <mergeCell ref="A79:E79"/>
    <mergeCell ref="A81:F81"/>
  </mergeCells>
  <dataValidations count="1">
    <dataValidation allowBlank="true" errorStyle="stop" operator="between" showDropDown="false" showErrorMessage="false" showInputMessage="false" sqref="C8:C67" type="list">
      <formula1>"Vente,Encaissement de créance,Apport,Achat de marchandise ou matière,Charge,Salaire ou main-d'œuvre,Prélèvement personnel,Autre"</formula1>
      <formula2>0</formula2>
    </dataValidation>
  </dataValidations>
  <printOptions headings="false" gridLines="false" gridLinesSet="true" horizontalCentered="true" verticalCentered="false"/>
  <pageMargins left="0.4" right="0.4" top="1" bottom="1" header="0.511811023622047" footer="0.5"/>
  <pageSetup paperSize="9" scale="100" fitToWidth="1" fitToHeight="0" pageOrder="downThenOver" orientation="portrait" blackAndWhite="false" draft="false" cellComments="none" horizontalDpi="300" verticalDpi="300" copies="1"/>
  <headerFooter differentFirst="false" differentOddEven="false">
    <oddHeader/>
    <oddFooter>&amp;C&amp;8 CADE / CCIAK · Yokkute PME · page &amp;P /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40"/>
  </cols>
  <sheetData>
    <row r="1" customFormat="false" ht="18.55" hidden="false" customHeight="false" outlineLevel="0" collapsed="false">
      <c r="A1" s="1" t="s">
        <v>43</v>
      </c>
    </row>
    <row r="2" customFormat="false" ht="15" hidden="false" customHeight="false" outlineLevel="0" collapsed="false">
      <c r="A2" s="2" t="s">
        <v>44</v>
      </c>
    </row>
    <row r="4" customFormat="false" ht="15" hidden="false" customHeight="false" outlineLevel="0" collapsed="false">
      <c r="A4" s="8" t="s">
        <v>21</v>
      </c>
      <c r="B4" s="9"/>
    </row>
    <row r="5" customFormat="false" ht="15" hidden="false" customHeight="false" outlineLevel="0" collapsed="false">
      <c r="A5" s="8" t="s">
        <v>45</v>
      </c>
      <c r="B5" s="12"/>
    </row>
    <row r="6" customFormat="false" ht="15" hidden="false" customHeight="true" outlineLevel="0" collapsed="false">
      <c r="A6" s="7" t="s">
        <v>24</v>
      </c>
      <c r="B6" s="7"/>
    </row>
    <row r="8" customFormat="false" ht="30" hidden="false" customHeight="true" outlineLevel="0" collapsed="false">
      <c r="A8" s="4" t="s">
        <v>46</v>
      </c>
      <c r="B8" s="4" t="s">
        <v>47</v>
      </c>
    </row>
    <row r="9" customFormat="false" ht="30" hidden="false" customHeight="true" outlineLevel="0" collapsed="false">
      <c r="A9" s="6" t="s">
        <v>48</v>
      </c>
      <c r="B9" s="9"/>
    </row>
    <row r="10" customFormat="false" ht="30" hidden="false" customHeight="true" outlineLevel="0" collapsed="false">
      <c r="A10" s="6" t="s">
        <v>49</v>
      </c>
      <c r="B10" s="9"/>
    </row>
    <row r="11" customFormat="false" ht="30" hidden="false" customHeight="true" outlineLevel="0" collapsed="false">
      <c r="A11" s="6" t="s">
        <v>50</v>
      </c>
      <c r="B11" s="9"/>
    </row>
    <row r="12" customFormat="false" ht="30" hidden="false" customHeight="true" outlineLevel="0" collapsed="false">
      <c r="A12" s="6" t="s">
        <v>51</v>
      </c>
      <c r="B12" s="9"/>
    </row>
    <row r="14" customFormat="false" ht="30" hidden="false" customHeight="true" outlineLevel="0" collapsed="false">
      <c r="A14" s="4" t="s">
        <v>52</v>
      </c>
      <c r="B14" s="4" t="s">
        <v>53</v>
      </c>
    </row>
    <row r="15" customFormat="false" ht="30" hidden="false" customHeight="true" outlineLevel="0" collapsed="false">
      <c r="A15" s="6" t="s">
        <v>54</v>
      </c>
      <c r="B15" s="11"/>
    </row>
    <row r="16" customFormat="false" ht="30" hidden="false" customHeight="true" outlineLevel="0" collapsed="false">
      <c r="A16" s="6" t="s">
        <v>55</v>
      </c>
      <c r="B16" s="11"/>
    </row>
    <row r="17" customFormat="false" ht="30" hidden="false" customHeight="true" outlineLevel="0" collapsed="false">
      <c r="A17" s="6" t="s">
        <v>56</v>
      </c>
      <c r="B17" s="9"/>
    </row>
    <row r="18" customFormat="false" ht="30" hidden="false" customHeight="true" outlineLevel="0" collapsed="false">
      <c r="A18" s="5" t="s">
        <v>57</v>
      </c>
      <c r="B18" s="15" t="str">
        <f aca="false">IF(OR(B16="",B17=""),"",IF(ISNUMBER(SEARCH("semaine",B17)),ROUND(B16*12/52,-2),B16))</f>
        <v/>
      </c>
    </row>
    <row r="19" customFormat="false" ht="30" hidden="false" customHeight="true" outlineLevel="0" collapsed="false">
      <c r="A19" s="6" t="s">
        <v>58</v>
      </c>
      <c r="B19" s="11"/>
    </row>
    <row r="20" customFormat="false" ht="30" hidden="false" customHeight="true" outlineLevel="0" collapsed="false">
      <c r="A20" s="5" t="s">
        <v>59</v>
      </c>
      <c r="B20" s="17" t="str">
        <f aca="false">IF(OR(B16="",B19=""),"",IF(B19&gt;=B16,"Oui","Non : réduire la rémunération ou améliorer prix et ventes"))</f>
        <v/>
      </c>
    </row>
    <row r="22" customFormat="false" ht="30" hidden="false" customHeight="true" outlineLevel="0" collapsed="false">
      <c r="A22" s="4" t="s">
        <v>60</v>
      </c>
      <c r="B22" s="4" t="s">
        <v>61</v>
      </c>
    </row>
    <row r="23" customFormat="false" ht="15" hidden="false" customHeight="false" outlineLevel="0" collapsed="false">
      <c r="A23" s="6" t="s">
        <v>62</v>
      </c>
      <c r="B23" s="18" t="s">
        <v>63</v>
      </c>
    </row>
    <row r="24" customFormat="false" ht="15" hidden="false" customHeight="false" outlineLevel="0" collapsed="false">
      <c r="A24" s="6" t="s">
        <v>64</v>
      </c>
      <c r="B24" s="18" t="s">
        <v>63</v>
      </c>
    </row>
    <row r="25" customFormat="false" ht="15" hidden="false" customHeight="false" outlineLevel="0" collapsed="false">
      <c r="A25" s="6" t="s">
        <v>65</v>
      </c>
      <c r="B25" s="18" t="s">
        <v>63</v>
      </c>
    </row>
    <row r="26" customFormat="false" ht="23.85" hidden="false" customHeight="false" outlineLevel="0" collapsed="false">
      <c r="A26" s="6" t="s">
        <v>66</v>
      </c>
      <c r="B26" s="18" t="s">
        <v>63</v>
      </c>
    </row>
    <row r="28" customFormat="false" ht="36" hidden="false" customHeight="true" outlineLevel="0" collapsed="false">
      <c r="A28" s="19" t="s">
        <v>67</v>
      </c>
      <c r="B28" s="19"/>
    </row>
    <row r="30" customFormat="false" ht="15" hidden="false" customHeight="false" outlineLevel="0" collapsed="false">
      <c r="A30" s="18" t="s">
        <v>68</v>
      </c>
      <c r="B30" s="18" t="s">
        <v>69</v>
      </c>
    </row>
    <row r="31" customFormat="false" ht="39.75" hidden="false" customHeight="true" outlineLevel="0" collapsed="false">
      <c r="A31" s="20"/>
      <c r="B31" s="20"/>
    </row>
  </sheetData>
  <mergeCells count="2">
    <mergeCell ref="A6:B6"/>
    <mergeCell ref="A28:B28"/>
  </mergeCells>
  <printOptions headings="false" gridLines="false" gridLinesSet="true" horizontalCentered="true" verticalCentered="false"/>
  <pageMargins left="0.4" right="0.4" top="1" bottom="1" header="0.511811023622047" footer="0.5"/>
  <pageSetup paperSize="9" scale="100" fitToWidth="1" fitToHeight="1" pageOrder="downThenOver" orientation="portrait" blackAndWhite="false" draft="false" cellComments="none" horizontalDpi="300" verticalDpi="300" copies="1"/>
  <headerFooter differentFirst="false" differentOddEven="false">
    <oddHeader/>
    <oddFooter>&amp;C&amp;8 CADE / CCIAK · Yokkute PME · page &amp;P /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3" min="2" style="0" width="12"/>
    <col collapsed="false" customWidth="true" hidden="false" outlineLevel="0" max="4" min="4" style="0" width="16"/>
    <col collapsed="false" customWidth="true" hidden="false" outlineLevel="0" max="5" min="5" style="0" width="34"/>
  </cols>
  <sheetData>
    <row r="1" customFormat="false" ht="18.55" hidden="false" customHeight="false" outlineLevel="0" collapsed="false">
      <c r="A1" s="1" t="s">
        <v>70</v>
      </c>
    </row>
    <row r="2" customFormat="false" ht="15" hidden="false" customHeight="false" outlineLevel="0" collapsed="false">
      <c r="A2" s="2" t="s">
        <v>71</v>
      </c>
    </row>
    <row r="4" customFormat="false" ht="15" hidden="false" customHeight="false" outlineLevel="0" collapsed="false">
      <c r="A4" s="8" t="s">
        <v>72</v>
      </c>
      <c r="B4" s="9"/>
      <c r="C4" s="9"/>
      <c r="D4" s="9"/>
      <c r="E4" s="9"/>
    </row>
    <row r="5" customFormat="false" ht="15" hidden="false" customHeight="false" outlineLevel="0" collapsed="false">
      <c r="A5" s="8" t="s">
        <v>73</v>
      </c>
      <c r="B5" s="9"/>
      <c r="C5" s="9"/>
      <c r="D5" s="9"/>
      <c r="E5" s="9"/>
    </row>
    <row r="6" customFormat="false" ht="15" hidden="false" customHeight="false" outlineLevel="0" collapsed="false">
      <c r="A6" s="8" t="s">
        <v>74</v>
      </c>
      <c r="B6" s="9"/>
      <c r="C6" s="9"/>
      <c r="D6" s="9"/>
      <c r="E6" s="9"/>
    </row>
    <row r="7" customFormat="false" ht="15" hidden="false" customHeight="true" outlineLevel="0" collapsed="false">
      <c r="A7" s="7" t="s">
        <v>24</v>
      </c>
      <c r="B7" s="7"/>
      <c r="C7" s="7"/>
      <c r="D7" s="7"/>
      <c r="E7" s="7"/>
    </row>
    <row r="9" customFormat="false" ht="30" hidden="false" customHeight="true" outlineLevel="0" collapsed="false">
      <c r="A9" s="4" t="s">
        <v>75</v>
      </c>
      <c r="B9" s="4" t="s">
        <v>76</v>
      </c>
      <c r="C9" s="4" t="s">
        <v>77</v>
      </c>
      <c r="D9" s="4" t="s">
        <v>78</v>
      </c>
      <c r="E9" s="4" t="s">
        <v>79</v>
      </c>
    </row>
    <row r="10" customFormat="false" ht="15" hidden="false" customHeight="false" outlineLevel="0" collapsed="false">
      <c r="A10" s="9"/>
      <c r="B10" s="21"/>
      <c r="C10" s="9"/>
      <c r="D10" s="11"/>
      <c r="E10" s="13" t="str">
        <f aca="false">IF(OR(B10="",D10=""),"",B10*D10)</f>
        <v/>
      </c>
    </row>
    <row r="11" customFormat="false" ht="15" hidden="false" customHeight="false" outlineLevel="0" collapsed="false">
      <c r="A11" s="9"/>
      <c r="B11" s="21"/>
      <c r="C11" s="9"/>
      <c r="D11" s="11"/>
      <c r="E11" s="13" t="str">
        <f aca="false">IF(OR(B11="",D11=""),"",B11*D11)</f>
        <v/>
      </c>
    </row>
    <row r="12" customFormat="false" ht="15" hidden="false" customHeight="false" outlineLevel="0" collapsed="false">
      <c r="A12" s="9"/>
      <c r="B12" s="21"/>
      <c r="C12" s="9"/>
      <c r="D12" s="11"/>
      <c r="E12" s="13" t="str">
        <f aca="false">IF(OR(B12="",D12=""),"",B12*D12)</f>
        <v/>
      </c>
    </row>
    <row r="13" customFormat="false" ht="15" hidden="false" customHeight="false" outlineLevel="0" collapsed="false">
      <c r="A13" s="9"/>
      <c r="B13" s="21"/>
      <c r="C13" s="9"/>
      <c r="D13" s="11"/>
      <c r="E13" s="13" t="str">
        <f aca="false">IF(OR(B13="",D13=""),"",B13*D13)</f>
        <v/>
      </c>
    </row>
    <row r="14" customFormat="false" ht="15" hidden="false" customHeight="false" outlineLevel="0" collapsed="false">
      <c r="A14" s="9"/>
      <c r="B14" s="21"/>
      <c r="C14" s="9"/>
      <c r="D14" s="11"/>
      <c r="E14" s="13" t="str">
        <f aca="false">IF(OR(B14="",D14=""),"",B14*D14)</f>
        <v/>
      </c>
    </row>
    <row r="15" customFormat="false" ht="15" hidden="false" customHeight="false" outlineLevel="0" collapsed="false">
      <c r="A15" s="9"/>
      <c r="B15" s="21"/>
      <c r="C15" s="9"/>
      <c r="D15" s="11"/>
      <c r="E15" s="13" t="str">
        <f aca="false">IF(OR(B15="",D15=""),"",B15*D15)</f>
        <v/>
      </c>
    </row>
    <row r="16" customFormat="false" ht="15" hidden="false" customHeight="false" outlineLevel="0" collapsed="false">
      <c r="A16" s="9"/>
      <c r="B16" s="21"/>
      <c r="C16" s="9"/>
      <c r="D16" s="11"/>
      <c r="E16" s="13" t="str">
        <f aca="false">IF(OR(B16="",D16=""),"",B16*D16)</f>
        <v/>
      </c>
    </row>
    <row r="17" customFormat="false" ht="15" hidden="false" customHeight="false" outlineLevel="0" collapsed="false">
      <c r="A17" s="14" t="s">
        <v>80</v>
      </c>
      <c r="B17" s="22"/>
      <c r="C17" s="22"/>
      <c r="D17" s="22"/>
      <c r="E17" s="23" t="n">
        <f aca="false">SUM(E10:E16)</f>
        <v>0</v>
      </c>
    </row>
    <row r="19" customFormat="false" ht="30" hidden="false" customHeight="true" outlineLevel="0" collapsed="false">
      <c r="A19" s="4" t="s">
        <v>81</v>
      </c>
      <c r="B19" s="4" t="s">
        <v>76</v>
      </c>
      <c r="C19" s="4" t="s">
        <v>77</v>
      </c>
      <c r="D19" s="4" t="s">
        <v>78</v>
      </c>
      <c r="E19" s="4" t="s">
        <v>79</v>
      </c>
    </row>
    <row r="20" customFormat="false" ht="15" hidden="false" customHeight="false" outlineLevel="0" collapsed="false">
      <c r="A20" s="9"/>
      <c r="B20" s="21"/>
      <c r="C20" s="9"/>
      <c r="D20" s="11"/>
      <c r="E20" s="13" t="str">
        <f aca="false">IF(OR(B20="",D20=""),"",B20*D20)</f>
        <v/>
      </c>
    </row>
    <row r="21" customFormat="false" ht="15" hidden="false" customHeight="false" outlineLevel="0" collapsed="false">
      <c r="A21" s="9"/>
      <c r="B21" s="21"/>
      <c r="C21" s="9"/>
      <c r="D21" s="11"/>
      <c r="E21" s="13" t="str">
        <f aca="false">IF(OR(B21="",D21=""),"",B21*D21)</f>
        <v/>
      </c>
    </row>
    <row r="22" customFormat="false" ht="15" hidden="false" customHeight="false" outlineLevel="0" collapsed="false">
      <c r="A22" s="9"/>
      <c r="B22" s="21"/>
      <c r="C22" s="9"/>
      <c r="D22" s="11"/>
      <c r="E22" s="13" t="str">
        <f aca="false">IF(OR(B22="",D22=""),"",B22*D22)</f>
        <v/>
      </c>
    </row>
    <row r="23" customFormat="false" ht="15" hidden="false" customHeight="false" outlineLevel="0" collapsed="false">
      <c r="A23" s="9"/>
      <c r="B23" s="21"/>
      <c r="C23" s="9"/>
      <c r="D23" s="11"/>
      <c r="E23" s="13" t="str">
        <f aca="false">IF(OR(B23="",D23=""),"",B23*D23)</f>
        <v/>
      </c>
    </row>
    <row r="24" customFormat="false" ht="15" hidden="false" customHeight="false" outlineLevel="0" collapsed="false">
      <c r="A24" s="9"/>
      <c r="B24" s="21"/>
      <c r="C24" s="9"/>
      <c r="D24" s="11"/>
      <c r="E24" s="13" t="str">
        <f aca="false">IF(OR(B24="",D24=""),"",B24*D24)</f>
        <v/>
      </c>
    </row>
    <row r="25" customFormat="false" ht="15" hidden="false" customHeight="false" outlineLevel="0" collapsed="false">
      <c r="A25" s="9"/>
      <c r="B25" s="21"/>
      <c r="C25" s="9"/>
      <c r="D25" s="11"/>
      <c r="E25" s="13" t="str">
        <f aca="false">IF(OR(B25="",D25=""),"",B25*D25)</f>
        <v/>
      </c>
    </row>
    <row r="26" customFormat="false" ht="15" hidden="false" customHeight="false" outlineLevel="0" collapsed="false">
      <c r="A26" s="14" t="s">
        <v>80</v>
      </c>
      <c r="B26" s="22"/>
      <c r="C26" s="22"/>
      <c r="D26" s="22"/>
      <c r="E26" s="23" t="n">
        <f aca="false">SUM(E20:E25)</f>
        <v>0</v>
      </c>
    </row>
    <row r="28" customFormat="false" ht="30" hidden="false" customHeight="true" outlineLevel="0" collapsed="false">
      <c r="A28" s="4" t="s">
        <v>82</v>
      </c>
      <c r="B28" s="4"/>
      <c r="C28" s="4"/>
      <c r="D28" s="4"/>
      <c r="E28" s="4" t="s">
        <v>83</v>
      </c>
    </row>
    <row r="29" customFormat="false" ht="15" hidden="false" customHeight="false" outlineLevel="0" collapsed="false">
      <c r="A29" s="9"/>
      <c r="B29" s="9"/>
      <c r="C29" s="9"/>
      <c r="D29" s="9"/>
      <c r="E29" s="11"/>
    </row>
    <row r="30" customFormat="false" ht="15" hidden="false" customHeight="false" outlineLevel="0" collapsed="false">
      <c r="A30" s="9"/>
      <c r="B30" s="9"/>
      <c r="C30" s="9"/>
      <c r="D30" s="9"/>
      <c r="E30" s="11"/>
    </row>
    <row r="31" customFormat="false" ht="15" hidden="false" customHeight="false" outlineLevel="0" collapsed="false">
      <c r="A31" s="9"/>
      <c r="B31" s="9"/>
      <c r="C31" s="9"/>
      <c r="D31" s="9"/>
      <c r="E31" s="11"/>
    </row>
    <row r="32" customFormat="false" ht="15" hidden="false" customHeight="false" outlineLevel="0" collapsed="false">
      <c r="A32" s="9"/>
      <c r="B32" s="9"/>
      <c r="C32" s="9"/>
      <c r="D32" s="9"/>
      <c r="E32" s="11"/>
    </row>
    <row r="33" customFormat="false" ht="15" hidden="false" customHeight="false" outlineLevel="0" collapsed="false">
      <c r="A33" s="9"/>
      <c r="B33" s="9"/>
      <c r="C33" s="9"/>
      <c r="D33" s="9"/>
      <c r="E33" s="11"/>
    </row>
    <row r="34" customFormat="false" ht="15" hidden="false" customHeight="false" outlineLevel="0" collapsed="false">
      <c r="A34" s="5" t="s">
        <v>84</v>
      </c>
      <c r="B34" s="5"/>
      <c r="C34" s="5"/>
      <c r="D34" s="5"/>
      <c r="E34" s="15" t="n">
        <f aca="false">SUM(E29:E33)</f>
        <v>0</v>
      </c>
    </row>
    <row r="35" customFormat="false" ht="15" hidden="false" customHeight="false" outlineLevel="0" collapsed="false">
      <c r="A35" s="18" t="s">
        <v>85</v>
      </c>
      <c r="B35" s="18"/>
      <c r="C35" s="18"/>
      <c r="D35" s="18"/>
      <c r="E35" s="24"/>
    </row>
    <row r="36" customFormat="false" ht="15" hidden="false" customHeight="false" outlineLevel="0" collapsed="false">
      <c r="A36" s="14" t="s">
        <v>86</v>
      </c>
      <c r="B36" s="14"/>
      <c r="C36" s="14"/>
      <c r="D36" s="14"/>
      <c r="E36" s="23" t="str">
        <f aca="false">IF(N(E35)=0,"",E34/E35)</f>
        <v/>
      </c>
    </row>
    <row r="38" customFormat="false" ht="30" hidden="false" customHeight="true" outlineLevel="0" collapsed="false">
      <c r="A38" s="4" t="s">
        <v>87</v>
      </c>
      <c r="B38" s="4"/>
      <c r="C38" s="4"/>
      <c r="D38" s="4"/>
      <c r="E38" s="4" t="s">
        <v>88</v>
      </c>
    </row>
    <row r="39" customFormat="false" ht="15" hidden="false" customHeight="false" outlineLevel="0" collapsed="false">
      <c r="A39" s="18" t="s">
        <v>89</v>
      </c>
      <c r="B39" s="18"/>
      <c r="C39" s="18"/>
      <c r="D39" s="18"/>
      <c r="E39" s="13" t="n">
        <f aca="false">E17+E26+N(E36)</f>
        <v>0</v>
      </c>
    </row>
    <row r="40" customFormat="false" ht="15" hidden="false" customHeight="false" outlineLevel="0" collapsed="false">
      <c r="A40" s="18" t="s">
        <v>90</v>
      </c>
      <c r="B40" s="18"/>
      <c r="C40" s="18"/>
      <c r="D40" s="18"/>
      <c r="E40" s="21"/>
    </row>
    <row r="41" customFormat="false" ht="15" hidden="false" customHeight="false" outlineLevel="0" collapsed="false">
      <c r="A41" s="5" t="s">
        <v>91</v>
      </c>
      <c r="B41" s="5"/>
      <c r="C41" s="5"/>
      <c r="D41" s="5"/>
      <c r="E41" s="15" t="str">
        <f aca="false">IF(N(E40)=0,"",E39/E40)</f>
        <v/>
      </c>
    </row>
    <row r="42" customFormat="false" ht="15" hidden="false" customHeight="false" outlineLevel="0" collapsed="false">
      <c r="A42" s="18" t="s">
        <v>92</v>
      </c>
      <c r="B42" s="18"/>
      <c r="C42" s="18"/>
      <c r="D42" s="18"/>
      <c r="E42" s="11"/>
    </row>
    <row r="43" customFormat="false" ht="15" hidden="false" customHeight="false" outlineLevel="0" collapsed="false">
      <c r="A43" s="18" t="s">
        <v>93</v>
      </c>
      <c r="B43" s="18"/>
      <c r="C43" s="18"/>
      <c r="D43" s="18"/>
      <c r="E43" s="13" t="str">
        <f aca="false">IF(OR(E41="",E42=""),"",E42-E41)</f>
        <v/>
      </c>
    </row>
    <row r="44" customFormat="false" ht="15" hidden="false" customHeight="false" outlineLevel="0" collapsed="false">
      <c r="A44" s="18" t="s">
        <v>94</v>
      </c>
      <c r="B44" s="18"/>
      <c r="C44" s="18"/>
      <c r="D44" s="18"/>
      <c r="E44" s="25" t="str">
        <f aca="false">IF(OR(E43="",N(E42)=0),"",E43/E42)</f>
        <v/>
      </c>
    </row>
    <row r="45" customFormat="false" ht="15" hidden="false" customHeight="false" outlineLevel="0" collapsed="false">
      <c r="A45" s="18" t="s">
        <v>95</v>
      </c>
      <c r="B45" s="18"/>
      <c r="C45" s="18"/>
      <c r="D45" s="18"/>
      <c r="E45" s="24"/>
    </row>
    <row r="46" customFormat="false" ht="15" hidden="false" customHeight="false" outlineLevel="0" collapsed="false">
      <c r="A46" s="5" t="s">
        <v>96</v>
      </c>
      <c r="B46" s="5"/>
      <c r="C46" s="5"/>
      <c r="D46" s="5"/>
      <c r="E46" s="15" t="str">
        <f aca="false">IF(OR(E43="",E45=""),"",E43*E45)</f>
        <v/>
      </c>
    </row>
    <row r="47" customFormat="false" ht="15" hidden="false" customHeight="false" outlineLevel="0" collapsed="false">
      <c r="A47" s="5" t="s">
        <v>97</v>
      </c>
      <c r="B47" s="5"/>
      <c r="C47" s="5"/>
      <c r="D47" s="5"/>
      <c r="E47" s="17" t="str">
        <f aca="false">IF(E43="","",IF(E43&lt;0,"Vente à perte : réduire les coûts ou revoir le prix",IF(E44&lt;0.15,"Marge faible : à surveiller","Marge positive")))</f>
        <v/>
      </c>
    </row>
    <row r="49" customFormat="false" ht="31.5" hidden="false" customHeight="true" outlineLevel="0" collapsed="false">
      <c r="A49" s="7" t="s">
        <v>98</v>
      </c>
      <c r="B49" s="7"/>
      <c r="C49" s="7"/>
      <c r="D49" s="7"/>
      <c r="E49" s="7"/>
    </row>
  </sheetData>
  <mergeCells count="22">
    <mergeCell ref="B4:E4"/>
    <mergeCell ref="B5:E5"/>
    <mergeCell ref="B6:E6"/>
    <mergeCell ref="A7:E7"/>
    <mergeCell ref="A29:D29"/>
    <mergeCell ref="A30:D30"/>
    <mergeCell ref="A31:D31"/>
    <mergeCell ref="A32:D32"/>
    <mergeCell ref="A33:D33"/>
    <mergeCell ref="A34:D34"/>
    <mergeCell ref="A35:D35"/>
    <mergeCell ref="A36:D36"/>
    <mergeCell ref="A39:D39"/>
    <mergeCell ref="A40:D40"/>
    <mergeCell ref="A41:D41"/>
    <mergeCell ref="A42:D42"/>
    <mergeCell ref="A43:D43"/>
    <mergeCell ref="A44:D44"/>
    <mergeCell ref="A45:D45"/>
    <mergeCell ref="A46:D46"/>
    <mergeCell ref="A47:D47"/>
    <mergeCell ref="A49:E49"/>
  </mergeCells>
  <printOptions headings="false" gridLines="false" gridLinesSet="true" horizontalCentered="true" verticalCentered="false"/>
  <pageMargins left="0.4" right="0.4" top="1" bottom="1" header="0.511811023622047" footer="0.5"/>
  <pageSetup paperSize="9" scale="100" fitToWidth="1" fitToHeight="1" pageOrder="downThenOver" orientation="portrait" blackAndWhite="false" draft="false" cellComments="none" horizontalDpi="300" verticalDpi="300" copies="1"/>
  <headerFooter differentFirst="false" differentOddEven="false">
    <oddHeader/>
    <oddFooter>&amp;C&amp;8 CADE / CCIAK · Yokkute PME · page &amp;P /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6"/>
    <col collapsed="false" customWidth="true" hidden="false" outlineLevel="0" max="4" min="3" style="0" width="13"/>
    <col collapsed="false" customWidth="true" hidden="false" outlineLevel="0" max="5" min="5" style="0" width="15"/>
    <col collapsed="false" customWidth="true" hidden="false" outlineLevel="0" max="6" min="6" style="0" width="16"/>
  </cols>
  <sheetData>
    <row r="1" customFormat="false" ht="18.55" hidden="false" customHeight="false" outlineLevel="0" collapsed="false">
      <c r="A1" s="1" t="s">
        <v>99</v>
      </c>
    </row>
    <row r="2" customFormat="false" ht="15" hidden="false" customHeight="false" outlineLevel="0" collapsed="false">
      <c r="A2" s="2" t="s">
        <v>100</v>
      </c>
    </row>
    <row r="4" customFormat="false" ht="15" hidden="false" customHeight="false" outlineLevel="0" collapsed="false">
      <c r="A4" s="8" t="s">
        <v>101</v>
      </c>
      <c r="B4" s="9"/>
      <c r="C4" s="8" t="s">
        <v>77</v>
      </c>
      <c r="D4" s="9"/>
    </row>
    <row r="5" customFormat="false" ht="27.75" hidden="false" customHeight="true" outlineLevel="0" collapsed="false">
      <c r="A5" s="8" t="s">
        <v>102</v>
      </c>
      <c r="B5" s="21"/>
      <c r="C5" s="10" t="s">
        <v>103</v>
      </c>
      <c r="D5" s="21"/>
      <c r="E5" s="26" t="s">
        <v>104</v>
      </c>
      <c r="F5" s="26"/>
    </row>
    <row r="6" customFormat="false" ht="15" hidden="false" customHeight="true" outlineLevel="0" collapsed="false">
      <c r="A6" s="7" t="s">
        <v>24</v>
      </c>
      <c r="B6" s="7"/>
      <c r="C6" s="7"/>
      <c r="D6" s="7"/>
      <c r="E6" s="7"/>
      <c r="F6" s="7"/>
    </row>
    <row r="7" customFormat="false" ht="30" hidden="false" customHeight="true" outlineLevel="0" collapsed="false">
      <c r="A7" s="4" t="s">
        <v>25</v>
      </c>
      <c r="B7" s="4" t="s">
        <v>105</v>
      </c>
      <c r="C7" s="4" t="s">
        <v>106</v>
      </c>
      <c r="D7" s="4" t="s">
        <v>107</v>
      </c>
      <c r="E7" s="4" t="s">
        <v>108</v>
      </c>
      <c r="F7" s="4" t="s">
        <v>109</v>
      </c>
    </row>
    <row r="8" customFormat="false" ht="15" hidden="false" customHeight="false" outlineLevel="0" collapsed="false">
      <c r="A8" s="12"/>
      <c r="B8" s="9"/>
      <c r="C8" s="21"/>
      <c r="D8" s="21"/>
      <c r="E8" s="27" t="str">
        <f aca="false">IF(AND(C8="",D8=""),"",$B$5+SUM($C$8:C8)-SUM($D$8:D8))</f>
        <v/>
      </c>
      <c r="F8" s="17" t="str">
        <f aca="false">IF(OR(E8="",$D$5=""),"",IF(E8&lt;=$D$5,"COMMANDER",""))</f>
        <v/>
      </c>
    </row>
    <row r="9" customFormat="false" ht="15" hidden="false" customHeight="false" outlineLevel="0" collapsed="false">
      <c r="A9" s="12"/>
      <c r="B9" s="9"/>
      <c r="C9" s="21"/>
      <c r="D9" s="21"/>
      <c r="E9" s="27" t="str">
        <f aca="false">IF(AND(C9="",D9=""),"",$B$5+SUM($C$8:C9)-SUM($D$8:D9))</f>
        <v/>
      </c>
      <c r="F9" s="17" t="str">
        <f aca="false">IF(OR(E9="",$D$5=""),"",IF(E9&lt;=$D$5,"COMMANDER",""))</f>
        <v/>
      </c>
    </row>
    <row r="10" customFormat="false" ht="15" hidden="false" customHeight="false" outlineLevel="0" collapsed="false">
      <c r="A10" s="12"/>
      <c r="B10" s="9"/>
      <c r="C10" s="21"/>
      <c r="D10" s="21"/>
      <c r="E10" s="27" t="str">
        <f aca="false">IF(AND(C10="",D10=""),"",$B$5+SUM($C$8:C10)-SUM($D$8:D10))</f>
        <v/>
      </c>
      <c r="F10" s="17" t="str">
        <f aca="false">IF(OR(E10="",$D$5=""),"",IF(E10&lt;=$D$5,"COMMANDER",""))</f>
        <v/>
      </c>
    </row>
    <row r="11" customFormat="false" ht="15" hidden="false" customHeight="false" outlineLevel="0" collapsed="false">
      <c r="A11" s="12"/>
      <c r="B11" s="9"/>
      <c r="C11" s="21"/>
      <c r="D11" s="21"/>
      <c r="E11" s="27" t="str">
        <f aca="false">IF(AND(C11="",D11=""),"",$B$5+SUM($C$8:C11)-SUM($D$8:D11))</f>
        <v/>
      </c>
      <c r="F11" s="17" t="str">
        <f aca="false">IF(OR(E11="",$D$5=""),"",IF(E11&lt;=$D$5,"COMMANDER",""))</f>
        <v/>
      </c>
    </row>
    <row r="12" customFormat="false" ht="15" hidden="false" customHeight="false" outlineLevel="0" collapsed="false">
      <c r="A12" s="12"/>
      <c r="B12" s="9"/>
      <c r="C12" s="21"/>
      <c r="D12" s="21"/>
      <c r="E12" s="27" t="str">
        <f aca="false">IF(AND(C12="",D12=""),"",$B$5+SUM($C$8:C12)-SUM($D$8:D12))</f>
        <v/>
      </c>
      <c r="F12" s="17" t="str">
        <f aca="false">IF(OR(E12="",$D$5=""),"",IF(E12&lt;=$D$5,"COMMANDER",""))</f>
        <v/>
      </c>
    </row>
    <row r="13" customFormat="false" ht="15" hidden="false" customHeight="false" outlineLevel="0" collapsed="false">
      <c r="A13" s="12"/>
      <c r="B13" s="9"/>
      <c r="C13" s="21"/>
      <c r="D13" s="21"/>
      <c r="E13" s="27" t="str">
        <f aca="false">IF(AND(C13="",D13=""),"",$B$5+SUM($C$8:C13)-SUM($D$8:D13))</f>
        <v/>
      </c>
      <c r="F13" s="17" t="str">
        <f aca="false">IF(OR(E13="",$D$5=""),"",IF(E13&lt;=$D$5,"COMMANDER",""))</f>
        <v/>
      </c>
    </row>
    <row r="14" customFormat="false" ht="15" hidden="false" customHeight="false" outlineLevel="0" collapsed="false">
      <c r="A14" s="12"/>
      <c r="B14" s="9"/>
      <c r="C14" s="21"/>
      <c r="D14" s="21"/>
      <c r="E14" s="27" t="str">
        <f aca="false">IF(AND(C14="",D14=""),"",$B$5+SUM($C$8:C14)-SUM($D$8:D14))</f>
        <v/>
      </c>
      <c r="F14" s="17" t="str">
        <f aca="false">IF(OR(E14="",$D$5=""),"",IF(E14&lt;=$D$5,"COMMANDER",""))</f>
        <v/>
      </c>
    </row>
    <row r="15" customFormat="false" ht="15" hidden="false" customHeight="false" outlineLevel="0" collapsed="false">
      <c r="A15" s="12"/>
      <c r="B15" s="9"/>
      <c r="C15" s="21"/>
      <c r="D15" s="21"/>
      <c r="E15" s="27" t="str">
        <f aca="false">IF(AND(C15="",D15=""),"",$B$5+SUM($C$8:C15)-SUM($D$8:D15))</f>
        <v/>
      </c>
      <c r="F15" s="17" t="str">
        <f aca="false">IF(OR(E15="",$D$5=""),"",IF(E15&lt;=$D$5,"COMMANDER",""))</f>
        <v/>
      </c>
    </row>
    <row r="16" customFormat="false" ht="15" hidden="false" customHeight="false" outlineLevel="0" collapsed="false">
      <c r="A16" s="12"/>
      <c r="B16" s="9"/>
      <c r="C16" s="21"/>
      <c r="D16" s="21"/>
      <c r="E16" s="27" t="str">
        <f aca="false">IF(AND(C16="",D16=""),"",$B$5+SUM($C$8:C16)-SUM($D$8:D16))</f>
        <v/>
      </c>
      <c r="F16" s="17" t="str">
        <f aca="false">IF(OR(E16="",$D$5=""),"",IF(E16&lt;=$D$5,"COMMANDER",""))</f>
        <v/>
      </c>
    </row>
    <row r="17" customFormat="false" ht="15" hidden="false" customHeight="false" outlineLevel="0" collapsed="false">
      <c r="A17" s="12"/>
      <c r="B17" s="9"/>
      <c r="C17" s="21"/>
      <c r="D17" s="21"/>
      <c r="E17" s="27" t="str">
        <f aca="false">IF(AND(C17="",D17=""),"",$B$5+SUM($C$8:C17)-SUM($D$8:D17))</f>
        <v/>
      </c>
      <c r="F17" s="17" t="str">
        <f aca="false">IF(OR(E17="",$D$5=""),"",IF(E17&lt;=$D$5,"COMMANDER",""))</f>
        <v/>
      </c>
    </row>
    <row r="18" customFormat="false" ht="15" hidden="false" customHeight="false" outlineLevel="0" collapsed="false">
      <c r="A18" s="12"/>
      <c r="B18" s="9"/>
      <c r="C18" s="21"/>
      <c r="D18" s="21"/>
      <c r="E18" s="27" t="str">
        <f aca="false">IF(AND(C18="",D18=""),"",$B$5+SUM($C$8:C18)-SUM($D$8:D18))</f>
        <v/>
      </c>
      <c r="F18" s="17" t="str">
        <f aca="false">IF(OR(E18="",$D$5=""),"",IF(E18&lt;=$D$5,"COMMANDER",""))</f>
        <v/>
      </c>
    </row>
    <row r="19" customFormat="false" ht="15" hidden="false" customHeight="false" outlineLevel="0" collapsed="false">
      <c r="A19" s="12"/>
      <c r="B19" s="9"/>
      <c r="C19" s="21"/>
      <c r="D19" s="21"/>
      <c r="E19" s="27" t="str">
        <f aca="false">IF(AND(C19="",D19=""),"",$B$5+SUM($C$8:C19)-SUM($D$8:D19))</f>
        <v/>
      </c>
      <c r="F19" s="17" t="str">
        <f aca="false">IF(OR(E19="",$D$5=""),"",IF(E19&lt;=$D$5,"COMMANDER",""))</f>
        <v/>
      </c>
    </row>
    <row r="20" customFormat="false" ht="15" hidden="false" customHeight="false" outlineLevel="0" collapsed="false">
      <c r="A20" s="12"/>
      <c r="B20" s="9"/>
      <c r="C20" s="21"/>
      <c r="D20" s="21"/>
      <c r="E20" s="27" t="str">
        <f aca="false">IF(AND(C20="",D20=""),"",$B$5+SUM($C$8:C20)-SUM($D$8:D20))</f>
        <v/>
      </c>
      <c r="F20" s="17" t="str">
        <f aca="false">IF(OR(E20="",$D$5=""),"",IF(E20&lt;=$D$5,"COMMANDER",""))</f>
        <v/>
      </c>
    </row>
    <row r="21" customFormat="false" ht="15" hidden="false" customHeight="false" outlineLevel="0" collapsed="false">
      <c r="A21" s="12"/>
      <c r="B21" s="9"/>
      <c r="C21" s="21"/>
      <c r="D21" s="21"/>
      <c r="E21" s="27" t="str">
        <f aca="false">IF(AND(C21="",D21=""),"",$B$5+SUM($C$8:C21)-SUM($D$8:D21))</f>
        <v/>
      </c>
      <c r="F21" s="17" t="str">
        <f aca="false">IF(OR(E21="",$D$5=""),"",IF(E21&lt;=$D$5,"COMMANDER",""))</f>
        <v/>
      </c>
    </row>
    <row r="22" customFormat="false" ht="15" hidden="false" customHeight="false" outlineLevel="0" collapsed="false">
      <c r="A22" s="12"/>
      <c r="B22" s="9"/>
      <c r="C22" s="21"/>
      <c r="D22" s="21"/>
      <c r="E22" s="27" t="str">
        <f aca="false">IF(AND(C22="",D22=""),"",$B$5+SUM($C$8:C22)-SUM($D$8:D22))</f>
        <v/>
      </c>
      <c r="F22" s="17" t="str">
        <f aca="false">IF(OR(E22="",$D$5=""),"",IF(E22&lt;=$D$5,"COMMANDER",""))</f>
        <v/>
      </c>
    </row>
    <row r="23" customFormat="false" ht="15" hidden="false" customHeight="false" outlineLevel="0" collapsed="false">
      <c r="A23" s="12"/>
      <c r="B23" s="9"/>
      <c r="C23" s="21"/>
      <c r="D23" s="21"/>
      <c r="E23" s="27" t="str">
        <f aca="false">IF(AND(C23="",D23=""),"",$B$5+SUM($C$8:C23)-SUM($D$8:D23))</f>
        <v/>
      </c>
      <c r="F23" s="17" t="str">
        <f aca="false">IF(OR(E23="",$D$5=""),"",IF(E23&lt;=$D$5,"COMMANDER",""))</f>
        <v/>
      </c>
    </row>
    <row r="24" customFormat="false" ht="15" hidden="false" customHeight="false" outlineLevel="0" collapsed="false">
      <c r="A24" s="12"/>
      <c r="B24" s="9"/>
      <c r="C24" s="21"/>
      <c r="D24" s="21"/>
      <c r="E24" s="27" t="str">
        <f aca="false">IF(AND(C24="",D24=""),"",$B$5+SUM($C$8:C24)-SUM($D$8:D24))</f>
        <v/>
      </c>
      <c r="F24" s="17" t="str">
        <f aca="false">IF(OR(E24="",$D$5=""),"",IF(E24&lt;=$D$5,"COMMANDER",""))</f>
        <v/>
      </c>
    </row>
    <row r="25" customFormat="false" ht="15" hidden="false" customHeight="false" outlineLevel="0" collapsed="false">
      <c r="A25" s="12"/>
      <c r="B25" s="9"/>
      <c r="C25" s="21"/>
      <c r="D25" s="21"/>
      <c r="E25" s="27" t="str">
        <f aca="false">IF(AND(C25="",D25=""),"",$B$5+SUM($C$8:C25)-SUM($D$8:D25))</f>
        <v/>
      </c>
      <c r="F25" s="17" t="str">
        <f aca="false">IF(OR(E25="",$D$5=""),"",IF(E25&lt;=$D$5,"COMMANDER",""))</f>
        <v/>
      </c>
    </row>
    <row r="26" customFormat="false" ht="15" hidden="false" customHeight="false" outlineLevel="0" collapsed="false">
      <c r="A26" s="12"/>
      <c r="B26" s="9"/>
      <c r="C26" s="21"/>
      <c r="D26" s="21"/>
      <c r="E26" s="27" t="str">
        <f aca="false">IF(AND(C26="",D26=""),"",$B$5+SUM($C$8:C26)-SUM($D$8:D26))</f>
        <v/>
      </c>
      <c r="F26" s="17" t="str">
        <f aca="false">IF(OR(E26="",$D$5=""),"",IF(E26&lt;=$D$5,"COMMANDER",""))</f>
        <v/>
      </c>
    </row>
    <row r="27" customFormat="false" ht="15" hidden="false" customHeight="false" outlineLevel="0" collapsed="false">
      <c r="A27" s="12"/>
      <c r="B27" s="9"/>
      <c r="C27" s="21"/>
      <c r="D27" s="21"/>
      <c r="E27" s="27" t="str">
        <f aca="false">IF(AND(C27="",D27=""),"",$B$5+SUM($C$8:C27)-SUM($D$8:D27))</f>
        <v/>
      </c>
      <c r="F27" s="17" t="str">
        <f aca="false">IF(OR(E27="",$D$5=""),"",IF(E27&lt;=$D$5,"COMMANDER",""))</f>
        <v/>
      </c>
    </row>
    <row r="28" customFormat="false" ht="15" hidden="false" customHeight="false" outlineLevel="0" collapsed="false">
      <c r="A28" s="12"/>
      <c r="B28" s="9"/>
      <c r="C28" s="21"/>
      <c r="D28" s="21"/>
      <c r="E28" s="27" t="str">
        <f aca="false">IF(AND(C28="",D28=""),"",$B$5+SUM($C$8:C28)-SUM($D$8:D28))</f>
        <v/>
      </c>
      <c r="F28" s="17" t="str">
        <f aca="false">IF(OR(E28="",$D$5=""),"",IF(E28&lt;=$D$5,"COMMANDER",""))</f>
        <v/>
      </c>
    </row>
    <row r="29" customFormat="false" ht="15" hidden="false" customHeight="false" outlineLevel="0" collapsed="false">
      <c r="A29" s="12"/>
      <c r="B29" s="9"/>
      <c r="C29" s="21"/>
      <c r="D29" s="21"/>
      <c r="E29" s="27" t="str">
        <f aca="false">IF(AND(C29="",D29=""),"",$B$5+SUM($C$8:C29)-SUM($D$8:D29))</f>
        <v/>
      </c>
      <c r="F29" s="17" t="str">
        <f aca="false">IF(OR(E29="",$D$5=""),"",IF(E29&lt;=$D$5,"COMMANDER",""))</f>
        <v/>
      </c>
    </row>
    <row r="30" customFormat="false" ht="15" hidden="false" customHeight="false" outlineLevel="0" collapsed="false">
      <c r="A30" s="12"/>
      <c r="B30" s="9"/>
      <c r="C30" s="21"/>
      <c r="D30" s="21"/>
      <c r="E30" s="27" t="str">
        <f aca="false">IF(AND(C30="",D30=""),"",$B$5+SUM($C$8:C30)-SUM($D$8:D30))</f>
        <v/>
      </c>
      <c r="F30" s="17" t="str">
        <f aca="false">IF(OR(E30="",$D$5=""),"",IF(E30&lt;=$D$5,"COMMANDER",""))</f>
        <v/>
      </c>
    </row>
    <row r="31" customFormat="false" ht="15" hidden="false" customHeight="false" outlineLevel="0" collapsed="false">
      <c r="A31" s="12"/>
      <c r="B31" s="9"/>
      <c r="C31" s="21"/>
      <c r="D31" s="21"/>
      <c r="E31" s="27" t="str">
        <f aca="false">IF(AND(C31="",D31=""),"",$B$5+SUM($C$8:C31)-SUM($D$8:D31))</f>
        <v/>
      </c>
      <c r="F31" s="17" t="str">
        <f aca="false">IF(OR(E31="",$D$5=""),"",IF(E31&lt;=$D$5,"COMMANDER",""))</f>
        <v/>
      </c>
    </row>
    <row r="32" customFormat="false" ht="15" hidden="false" customHeight="false" outlineLevel="0" collapsed="false">
      <c r="A32" s="12"/>
      <c r="B32" s="9"/>
      <c r="C32" s="21"/>
      <c r="D32" s="21"/>
      <c r="E32" s="27" t="str">
        <f aca="false">IF(AND(C32="",D32=""),"",$B$5+SUM($C$8:C32)-SUM($D$8:D32))</f>
        <v/>
      </c>
      <c r="F32" s="17" t="str">
        <f aca="false">IF(OR(E32="",$D$5=""),"",IF(E32&lt;=$D$5,"COMMANDER",""))</f>
        <v/>
      </c>
    </row>
    <row r="33" customFormat="false" ht="15" hidden="false" customHeight="false" outlineLevel="0" collapsed="false">
      <c r="A33" s="12"/>
      <c r="B33" s="9"/>
      <c r="C33" s="21"/>
      <c r="D33" s="21"/>
      <c r="E33" s="27" t="str">
        <f aca="false">IF(AND(C33="",D33=""),"",$B$5+SUM($C$8:C33)-SUM($D$8:D33))</f>
        <v/>
      </c>
      <c r="F33" s="17" t="str">
        <f aca="false">IF(OR(E33="",$D$5=""),"",IF(E33&lt;=$D$5,"COMMANDER",""))</f>
        <v/>
      </c>
    </row>
    <row r="34" customFormat="false" ht="15" hidden="false" customHeight="false" outlineLevel="0" collapsed="false">
      <c r="A34" s="12"/>
      <c r="B34" s="9"/>
      <c r="C34" s="21"/>
      <c r="D34" s="21"/>
      <c r="E34" s="27" t="str">
        <f aca="false">IF(AND(C34="",D34=""),"",$B$5+SUM($C$8:C34)-SUM($D$8:D34))</f>
        <v/>
      </c>
      <c r="F34" s="17" t="str">
        <f aca="false">IF(OR(E34="",$D$5=""),"",IF(E34&lt;=$D$5,"COMMANDER",""))</f>
        <v/>
      </c>
    </row>
    <row r="35" customFormat="false" ht="15" hidden="false" customHeight="false" outlineLevel="0" collapsed="false">
      <c r="A35" s="12"/>
      <c r="B35" s="9"/>
      <c r="C35" s="21"/>
      <c r="D35" s="21"/>
      <c r="E35" s="27" t="str">
        <f aca="false">IF(AND(C35="",D35=""),"",$B$5+SUM($C$8:C35)-SUM($D$8:D35))</f>
        <v/>
      </c>
      <c r="F35" s="17" t="str">
        <f aca="false">IF(OR(E35="",$D$5=""),"",IF(E35&lt;=$D$5,"COMMANDER",""))</f>
        <v/>
      </c>
    </row>
    <row r="36" customFormat="false" ht="15" hidden="false" customHeight="false" outlineLevel="0" collapsed="false">
      <c r="A36" s="12"/>
      <c r="B36" s="9"/>
      <c r="C36" s="21"/>
      <c r="D36" s="21"/>
      <c r="E36" s="27" t="str">
        <f aca="false">IF(AND(C36="",D36=""),"",$B$5+SUM($C$8:C36)-SUM($D$8:D36))</f>
        <v/>
      </c>
      <c r="F36" s="17" t="str">
        <f aca="false">IF(OR(E36="",$D$5=""),"",IF(E36&lt;=$D$5,"COMMANDER",""))</f>
        <v/>
      </c>
    </row>
    <row r="37" customFormat="false" ht="15" hidden="false" customHeight="false" outlineLevel="0" collapsed="false">
      <c r="A37" s="12"/>
      <c r="B37" s="9"/>
      <c r="C37" s="21"/>
      <c r="D37" s="21"/>
      <c r="E37" s="27" t="str">
        <f aca="false">IF(AND(C37="",D37=""),"",$B$5+SUM($C$8:C37)-SUM($D$8:D37))</f>
        <v/>
      </c>
      <c r="F37" s="17" t="str">
        <f aca="false">IF(OR(E37="",$D$5=""),"",IF(E37&lt;=$D$5,"COMMANDER",""))</f>
        <v/>
      </c>
    </row>
    <row r="38" customFormat="false" ht="15" hidden="false" customHeight="false" outlineLevel="0" collapsed="false">
      <c r="A38" s="12"/>
      <c r="B38" s="9"/>
      <c r="C38" s="21"/>
      <c r="D38" s="21"/>
      <c r="E38" s="27" t="str">
        <f aca="false">IF(AND(C38="",D38=""),"",$B$5+SUM($C$8:C38)-SUM($D$8:D38))</f>
        <v/>
      </c>
      <c r="F38" s="17" t="str">
        <f aca="false">IF(OR(E38="",$D$5=""),"",IF(E38&lt;=$D$5,"COMMANDER",""))</f>
        <v/>
      </c>
    </row>
    <row r="39" customFormat="false" ht="15" hidden="false" customHeight="false" outlineLevel="0" collapsed="false">
      <c r="A39" s="12"/>
      <c r="B39" s="9"/>
      <c r="C39" s="21"/>
      <c r="D39" s="21"/>
      <c r="E39" s="27" t="str">
        <f aca="false">IF(AND(C39="",D39=""),"",$B$5+SUM($C$8:C39)-SUM($D$8:D39))</f>
        <v/>
      </c>
      <c r="F39" s="17" t="str">
        <f aca="false">IF(OR(E39="",$D$5=""),"",IF(E39&lt;=$D$5,"COMMANDER",""))</f>
        <v/>
      </c>
    </row>
    <row r="40" customFormat="false" ht="15" hidden="false" customHeight="false" outlineLevel="0" collapsed="false">
      <c r="A40" s="12"/>
      <c r="B40" s="9"/>
      <c r="C40" s="21"/>
      <c r="D40" s="21"/>
      <c r="E40" s="27" t="str">
        <f aca="false">IF(AND(C40="",D40=""),"",$B$5+SUM($C$8:C40)-SUM($D$8:D40))</f>
        <v/>
      </c>
      <c r="F40" s="17" t="str">
        <f aca="false">IF(OR(E40="",$D$5=""),"",IF(E40&lt;=$D$5,"COMMANDER",""))</f>
        <v/>
      </c>
    </row>
    <row r="41" customFormat="false" ht="15" hidden="false" customHeight="false" outlineLevel="0" collapsed="false">
      <c r="A41" s="12"/>
      <c r="B41" s="9"/>
      <c r="C41" s="21"/>
      <c r="D41" s="21"/>
      <c r="E41" s="27" t="str">
        <f aca="false">IF(AND(C41="",D41=""),"",$B$5+SUM($C$8:C41)-SUM($D$8:D41))</f>
        <v/>
      </c>
      <c r="F41" s="17" t="str">
        <f aca="false">IF(OR(E41="",$D$5=""),"",IF(E41&lt;=$D$5,"COMMANDER",""))</f>
        <v/>
      </c>
    </row>
    <row r="42" customFormat="false" ht="15" hidden="false" customHeight="false" outlineLevel="0" collapsed="false">
      <c r="A42" s="12"/>
      <c r="B42" s="9"/>
      <c r="C42" s="21"/>
      <c r="D42" s="21"/>
      <c r="E42" s="27" t="str">
        <f aca="false">IF(AND(C42="",D42=""),"",$B$5+SUM($C$8:C42)-SUM($D$8:D42))</f>
        <v/>
      </c>
      <c r="F42" s="17" t="str">
        <f aca="false">IF(OR(E42="",$D$5=""),"",IF(E42&lt;=$D$5,"COMMANDER",""))</f>
        <v/>
      </c>
    </row>
    <row r="43" customFormat="false" ht="15" hidden="false" customHeight="false" outlineLevel="0" collapsed="false">
      <c r="A43" s="12"/>
      <c r="B43" s="9"/>
      <c r="C43" s="21"/>
      <c r="D43" s="21"/>
      <c r="E43" s="27" t="str">
        <f aca="false">IF(AND(C43="",D43=""),"",$B$5+SUM($C$8:C43)-SUM($D$8:D43))</f>
        <v/>
      </c>
      <c r="F43" s="17" t="str">
        <f aca="false">IF(OR(E43="",$D$5=""),"",IF(E43&lt;=$D$5,"COMMANDER",""))</f>
        <v/>
      </c>
    </row>
    <row r="44" customFormat="false" ht="15" hidden="false" customHeight="false" outlineLevel="0" collapsed="false">
      <c r="A44" s="12"/>
      <c r="B44" s="9"/>
      <c r="C44" s="21"/>
      <c r="D44" s="21"/>
      <c r="E44" s="27" t="str">
        <f aca="false">IF(AND(C44="",D44=""),"",$B$5+SUM($C$8:C44)-SUM($D$8:D44))</f>
        <v/>
      </c>
      <c r="F44" s="17" t="str">
        <f aca="false">IF(OR(E44="",$D$5=""),"",IF(E44&lt;=$D$5,"COMMANDER",""))</f>
        <v/>
      </c>
    </row>
    <row r="45" customFormat="false" ht="15" hidden="false" customHeight="false" outlineLevel="0" collapsed="false">
      <c r="A45" s="12"/>
      <c r="B45" s="9"/>
      <c r="C45" s="21"/>
      <c r="D45" s="21"/>
      <c r="E45" s="27" t="str">
        <f aca="false">IF(AND(C45="",D45=""),"",$B$5+SUM($C$8:C45)-SUM($D$8:D45))</f>
        <v/>
      </c>
      <c r="F45" s="17" t="str">
        <f aca="false">IF(OR(E45="",$D$5=""),"",IF(E45&lt;=$D$5,"COMMANDER",""))</f>
        <v/>
      </c>
    </row>
    <row r="46" customFormat="false" ht="15" hidden="false" customHeight="false" outlineLevel="0" collapsed="false">
      <c r="A46" s="12"/>
      <c r="B46" s="9"/>
      <c r="C46" s="21"/>
      <c r="D46" s="21"/>
      <c r="E46" s="27" t="str">
        <f aca="false">IF(AND(C46="",D46=""),"",$B$5+SUM($C$8:C46)-SUM($D$8:D46))</f>
        <v/>
      </c>
      <c r="F46" s="17" t="str">
        <f aca="false">IF(OR(E46="",$D$5=""),"",IF(E46&lt;=$D$5,"COMMANDER",""))</f>
        <v/>
      </c>
    </row>
    <row r="47" customFormat="false" ht="15" hidden="false" customHeight="false" outlineLevel="0" collapsed="false">
      <c r="A47" s="12"/>
      <c r="B47" s="9"/>
      <c r="C47" s="21"/>
      <c r="D47" s="21"/>
      <c r="E47" s="27" t="str">
        <f aca="false">IF(AND(C47="",D47=""),"",$B$5+SUM($C$8:C47)-SUM($D$8:D47))</f>
        <v/>
      </c>
      <c r="F47" s="17" t="str">
        <f aca="false">IF(OR(E47="",$D$5=""),"",IF(E47&lt;=$D$5,"COMMANDER",""))</f>
        <v/>
      </c>
    </row>
    <row r="48" customFormat="false" ht="15" hidden="false" customHeight="false" outlineLevel="0" collapsed="false">
      <c r="A48" s="12"/>
      <c r="B48" s="9"/>
      <c r="C48" s="21"/>
      <c r="D48" s="21"/>
      <c r="E48" s="27" t="str">
        <f aca="false">IF(AND(C48="",D48=""),"",$B$5+SUM($C$8:C48)-SUM($D$8:D48))</f>
        <v/>
      </c>
      <c r="F48" s="17" t="str">
        <f aca="false">IF(OR(E48="",$D$5=""),"",IF(E48&lt;=$D$5,"COMMANDER",""))</f>
        <v/>
      </c>
    </row>
    <row r="49" customFormat="false" ht="15" hidden="false" customHeight="false" outlineLevel="0" collapsed="false">
      <c r="A49" s="12"/>
      <c r="B49" s="9"/>
      <c r="C49" s="21"/>
      <c r="D49" s="21"/>
      <c r="E49" s="27" t="str">
        <f aca="false">IF(AND(C49="",D49=""),"",$B$5+SUM($C$8:C49)-SUM($D$8:D49))</f>
        <v/>
      </c>
      <c r="F49" s="17" t="str">
        <f aca="false">IF(OR(E49="",$D$5=""),"",IF(E49&lt;=$D$5,"COMMANDER",""))</f>
        <v/>
      </c>
    </row>
    <row r="50" customFormat="false" ht="15" hidden="false" customHeight="false" outlineLevel="0" collapsed="false">
      <c r="A50" s="12"/>
      <c r="B50" s="9"/>
      <c r="C50" s="21"/>
      <c r="D50" s="21"/>
      <c r="E50" s="27" t="str">
        <f aca="false">IF(AND(C50="",D50=""),"",$B$5+SUM($C$8:C50)-SUM($D$8:D50))</f>
        <v/>
      </c>
      <c r="F50" s="17" t="str">
        <f aca="false">IF(OR(E50="",$D$5=""),"",IF(E50&lt;=$D$5,"COMMANDER",""))</f>
        <v/>
      </c>
    </row>
    <row r="51" customFormat="false" ht="15" hidden="false" customHeight="false" outlineLevel="0" collapsed="false">
      <c r="A51" s="12"/>
      <c r="B51" s="9"/>
      <c r="C51" s="21"/>
      <c r="D51" s="21"/>
      <c r="E51" s="27" t="str">
        <f aca="false">IF(AND(C51="",D51=""),"",$B$5+SUM($C$8:C51)-SUM($D$8:D51))</f>
        <v/>
      </c>
      <c r="F51" s="17" t="str">
        <f aca="false">IF(OR(E51="",$D$5=""),"",IF(E51&lt;=$D$5,"COMMANDER",""))</f>
        <v/>
      </c>
    </row>
    <row r="52" customFormat="false" ht="15" hidden="false" customHeight="false" outlineLevel="0" collapsed="false">
      <c r="A52" s="12"/>
      <c r="B52" s="9"/>
      <c r="C52" s="21"/>
      <c r="D52" s="21"/>
      <c r="E52" s="27" t="str">
        <f aca="false">IF(AND(C52="",D52=""),"",$B$5+SUM($C$8:C52)-SUM($D$8:D52))</f>
        <v/>
      </c>
      <c r="F52" s="17" t="str">
        <f aca="false">IF(OR(E52="",$D$5=""),"",IF(E52&lt;=$D$5,"COMMANDER",""))</f>
        <v/>
      </c>
    </row>
    <row r="53" customFormat="false" ht="15" hidden="false" customHeight="false" outlineLevel="0" collapsed="false">
      <c r="A53" s="12"/>
      <c r="B53" s="9"/>
      <c r="C53" s="21"/>
      <c r="D53" s="21"/>
      <c r="E53" s="27" t="str">
        <f aca="false">IF(AND(C53="",D53=""),"",$B$5+SUM($C$8:C53)-SUM($D$8:D53))</f>
        <v/>
      </c>
      <c r="F53" s="17" t="str">
        <f aca="false">IF(OR(E53="",$D$5=""),"",IF(E53&lt;=$D$5,"COMMANDER",""))</f>
        <v/>
      </c>
    </row>
    <row r="54" customFormat="false" ht="15" hidden="false" customHeight="false" outlineLevel="0" collapsed="false">
      <c r="A54" s="12"/>
      <c r="B54" s="9"/>
      <c r="C54" s="21"/>
      <c r="D54" s="21"/>
      <c r="E54" s="27" t="str">
        <f aca="false">IF(AND(C54="",D54=""),"",$B$5+SUM($C$8:C54)-SUM($D$8:D54))</f>
        <v/>
      </c>
      <c r="F54" s="17" t="str">
        <f aca="false">IF(OR(E54="",$D$5=""),"",IF(E54&lt;=$D$5,"COMMANDER",""))</f>
        <v/>
      </c>
    </row>
    <row r="55" customFormat="false" ht="15" hidden="false" customHeight="false" outlineLevel="0" collapsed="false">
      <c r="A55" s="12"/>
      <c r="B55" s="9"/>
      <c r="C55" s="21"/>
      <c r="D55" s="21"/>
      <c r="E55" s="27" t="str">
        <f aca="false">IF(AND(C55="",D55=""),"",$B$5+SUM($C$8:C55)-SUM($D$8:D55))</f>
        <v/>
      </c>
      <c r="F55" s="17" t="str">
        <f aca="false">IF(OR(E55="",$D$5=""),"",IF(E55&lt;=$D$5,"COMMANDER",""))</f>
        <v/>
      </c>
    </row>
    <row r="56" customFormat="false" ht="15" hidden="false" customHeight="false" outlineLevel="0" collapsed="false">
      <c r="A56" s="12"/>
      <c r="B56" s="9"/>
      <c r="C56" s="21"/>
      <c r="D56" s="21"/>
      <c r="E56" s="27" t="str">
        <f aca="false">IF(AND(C56="",D56=""),"",$B$5+SUM($C$8:C56)-SUM($D$8:D56))</f>
        <v/>
      </c>
      <c r="F56" s="17" t="str">
        <f aca="false">IF(OR(E56="",$D$5=""),"",IF(E56&lt;=$D$5,"COMMANDER",""))</f>
        <v/>
      </c>
    </row>
    <row r="57" customFormat="false" ht="15" hidden="false" customHeight="false" outlineLevel="0" collapsed="false">
      <c r="A57" s="12"/>
      <c r="B57" s="9"/>
      <c r="C57" s="21"/>
      <c r="D57" s="21"/>
      <c r="E57" s="27" t="str">
        <f aca="false">IF(AND(C57="",D57=""),"",$B$5+SUM($C$8:C57)-SUM($D$8:D57))</f>
        <v/>
      </c>
      <c r="F57" s="17" t="str">
        <f aca="false">IF(OR(E57="",$D$5=""),"",IF(E57&lt;=$D$5,"COMMANDER",""))</f>
        <v/>
      </c>
    </row>
    <row r="59" customFormat="false" ht="15" hidden="false" customHeight="false" outlineLevel="0" collapsed="false">
      <c r="A59" s="14" t="s">
        <v>110</v>
      </c>
      <c r="B59" s="14"/>
      <c r="C59" s="14"/>
      <c r="D59" s="14"/>
      <c r="E59" s="14"/>
      <c r="F59" s="14"/>
    </row>
    <row r="60" customFormat="false" ht="30" hidden="false" customHeight="true" outlineLevel="0" collapsed="false">
      <c r="A60" s="4" t="s">
        <v>25</v>
      </c>
      <c r="B60" s="4" t="s">
        <v>111</v>
      </c>
      <c r="C60" s="4" t="s">
        <v>112</v>
      </c>
      <c r="D60" s="4" t="s">
        <v>113</v>
      </c>
      <c r="E60" s="4" t="s">
        <v>114</v>
      </c>
      <c r="F60" s="4" t="s">
        <v>115</v>
      </c>
    </row>
    <row r="61" customFormat="false" ht="15" hidden="false" customHeight="false" outlineLevel="0" collapsed="false">
      <c r="A61" s="12"/>
      <c r="B61" s="21"/>
      <c r="C61" s="21"/>
      <c r="D61" s="27" t="str">
        <f aca="false">IF(OR(B61="",C61=""),"",C61-B61)</f>
        <v/>
      </c>
      <c r="E61" s="25" t="str">
        <f aca="false">IF(OR(D61="",N(B61)=0),"",D61/B61)</f>
        <v/>
      </c>
      <c r="F61" s="9"/>
    </row>
    <row r="62" customFormat="false" ht="15" hidden="false" customHeight="false" outlineLevel="0" collapsed="false">
      <c r="A62" s="12"/>
      <c r="B62" s="21"/>
      <c r="C62" s="21"/>
      <c r="D62" s="27" t="str">
        <f aca="false">IF(OR(B62="",C62=""),"",C62-B62)</f>
        <v/>
      </c>
      <c r="E62" s="25" t="str">
        <f aca="false">IF(OR(D62="",N(B62)=0),"",D62/B62)</f>
        <v/>
      </c>
      <c r="F62" s="9"/>
    </row>
    <row r="63" customFormat="false" ht="15" hidden="false" customHeight="false" outlineLevel="0" collapsed="false">
      <c r="A63" s="12"/>
      <c r="B63" s="21"/>
      <c r="C63" s="21"/>
      <c r="D63" s="27" t="str">
        <f aca="false">IF(OR(B63="",C63=""),"",C63-B63)</f>
        <v/>
      </c>
      <c r="E63" s="25" t="str">
        <f aca="false">IF(OR(D63="",N(B63)=0),"",D63/B63)</f>
        <v/>
      </c>
      <c r="F63" s="9"/>
    </row>
    <row r="64" customFormat="false" ht="15" hidden="false" customHeight="false" outlineLevel="0" collapsed="false">
      <c r="A64" s="12"/>
      <c r="B64" s="21"/>
      <c r="C64" s="21"/>
      <c r="D64" s="27" t="str">
        <f aca="false">IF(OR(B64="",C64=""),"",C64-B64)</f>
        <v/>
      </c>
      <c r="E64" s="25" t="str">
        <f aca="false">IF(OR(D64="",N(B64)=0),"",D64/B64)</f>
        <v/>
      </c>
      <c r="F64" s="9"/>
    </row>
    <row r="65" customFormat="false" ht="15" hidden="false" customHeight="false" outlineLevel="0" collapsed="false">
      <c r="A65" s="12"/>
      <c r="B65" s="21"/>
      <c r="C65" s="21"/>
      <c r="D65" s="27" t="str">
        <f aca="false">IF(OR(B65="",C65=""),"",C65-B65)</f>
        <v/>
      </c>
      <c r="E65" s="25" t="str">
        <f aca="false">IF(OR(D65="",N(B65)=0),"",D65/B65)</f>
        <v/>
      </c>
      <c r="F65" s="9"/>
    </row>
    <row r="67" customFormat="false" ht="30" hidden="false" customHeight="true" outlineLevel="0" collapsed="false">
      <c r="A67" s="7" t="s">
        <v>116</v>
      </c>
      <c r="B67" s="7"/>
      <c r="C67" s="7"/>
      <c r="D67" s="7"/>
      <c r="E67" s="7"/>
      <c r="F67" s="7"/>
    </row>
  </sheetData>
  <mergeCells count="4">
    <mergeCell ref="E5:F5"/>
    <mergeCell ref="A6:F6"/>
    <mergeCell ref="A59:F59"/>
    <mergeCell ref="A67:F67"/>
  </mergeCells>
  <conditionalFormatting sqref="F8:F57">
    <cfRule type="expression" priority="2" aboveAverage="0" equalAverage="0" bottom="0" percent="0" rank="0" text="" dxfId="0">
      <formula>F8="COMMANDER"</formula>
    </cfRule>
  </conditionalFormatting>
  <printOptions headings="false" gridLines="false" gridLinesSet="true" horizontalCentered="true" verticalCentered="false"/>
  <pageMargins left="0.4" right="0.4" top="1" bottom="1" header="0.511811023622047" footer="0.5"/>
  <pageSetup paperSize="9" scale="100" fitToWidth="1" fitToHeight="0" pageOrder="downThenOver" orientation="portrait" blackAndWhite="false" draft="false" cellComments="none" horizontalDpi="300" verticalDpi="300" copies="1"/>
  <headerFooter differentFirst="false" differentOddEven="false">
    <oddHeader/>
    <oddFooter>&amp;C&amp;8 CADE / CCIAK · Yokkute PME · page &amp;P / &amp;N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0"/>
    <col collapsed="false" customWidth="true" hidden="false" outlineLevel="0" max="3" min="3" style="0" width="15"/>
    <col collapsed="false" customWidth="true" hidden="false" outlineLevel="0" max="6" min="4" style="0" width="14"/>
    <col collapsed="false" customWidth="true" hidden="false" outlineLevel="0" max="7" min="7" style="0" width="15"/>
  </cols>
  <sheetData>
    <row r="1" customFormat="false" ht="18.55" hidden="false" customHeight="false" outlineLevel="0" collapsed="false">
      <c r="A1" s="1" t="s">
        <v>117</v>
      </c>
    </row>
    <row r="2" customFormat="false" ht="15" hidden="false" customHeight="false" outlineLevel="0" collapsed="false">
      <c r="A2" s="2" t="s">
        <v>118</v>
      </c>
    </row>
    <row r="4" customFormat="false" ht="15" hidden="false" customHeight="true" outlineLevel="0" collapsed="false">
      <c r="A4" s="7" t="s">
        <v>24</v>
      </c>
      <c r="B4" s="7"/>
      <c r="C4" s="7"/>
      <c r="D4" s="7"/>
      <c r="E4" s="7"/>
      <c r="F4" s="7"/>
      <c r="G4" s="7"/>
    </row>
    <row r="6" customFormat="false" ht="30" hidden="false" customHeight="true" outlineLevel="0" collapsed="false">
      <c r="A6" s="4" t="s">
        <v>101</v>
      </c>
      <c r="B6" s="4" t="s">
        <v>77</v>
      </c>
      <c r="C6" s="4" t="s">
        <v>119</v>
      </c>
      <c r="D6" s="4" t="s">
        <v>120</v>
      </c>
      <c r="E6" s="4" t="s">
        <v>121</v>
      </c>
      <c r="F6" s="4" t="s">
        <v>122</v>
      </c>
      <c r="G6" s="4" t="s">
        <v>103</v>
      </c>
    </row>
    <row r="7" customFormat="false" ht="15" hidden="false" customHeight="false" outlineLevel="0" collapsed="false">
      <c r="A7" s="9"/>
      <c r="B7" s="9"/>
      <c r="C7" s="21"/>
      <c r="D7" s="24"/>
      <c r="E7" s="24"/>
      <c r="F7" s="27" t="str">
        <f aca="false">IF(OR(C7="",E7=""),"",C7*E7)</f>
        <v/>
      </c>
      <c r="G7" s="28" t="str">
        <f aca="false">IF(OR(C7="",D7=""),"",C7*D7+N(F7))</f>
        <v/>
      </c>
    </row>
    <row r="8" customFormat="false" ht="15" hidden="false" customHeight="false" outlineLevel="0" collapsed="false">
      <c r="A8" s="9"/>
      <c r="B8" s="9"/>
      <c r="C8" s="21"/>
      <c r="D8" s="24"/>
      <c r="E8" s="24"/>
      <c r="F8" s="27" t="str">
        <f aca="false">IF(OR(C8="",E8=""),"",C8*E8)</f>
        <v/>
      </c>
      <c r="G8" s="28" t="str">
        <f aca="false">IF(OR(C8="",D8=""),"",C8*D8+N(F8))</f>
        <v/>
      </c>
    </row>
    <row r="9" customFormat="false" ht="15" hidden="false" customHeight="false" outlineLevel="0" collapsed="false">
      <c r="A9" s="9"/>
      <c r="B9" s="9"/>
      <c r="C9" s="21"/>
      <c r="D9" s="24"/>
      <c r="E9" s="24"/>
      <c r="F9" s="27" t="str">
        <f aca="false">IF(OR(C9="",E9=""),"",C9*E9)</f>
        <v/>
      </c>
      <c r="G9" s="28" t="str">
        <f aca="false">IF(OR(C9="",D9=""),"",C9*D9+N(F9))</f>
        <v/>
      </c>
    </row>
    <row r="10" customFormat="false" ht="15" hidden="false" customHeight="false" outlineLevel="0" collapsed="false">
      <c r="A10" s="9"/>
      <c r="B10" s="9"/>
      <c r="C10" s="21"/>
      <c r="D10" s="24"/>
      <c r="E10" s="24"/>
      <c r="F10" s="27" t="str">
        <f aca="false">IF(OR(C10="",E10=""),"",C10*E10)</f>
        <v/>
      </c>
      <c r="G10" s="28" t="str">
        <f aca="false">IF(OR(C10="",D10=""),"",C10*D10+N(F10))</f>
        <v/>
      </c>
    </row>
    <row r="11" customFormat="false" ht="15" hidden="false" customHeight="false" outlineLevel="0" collapsed="false">
      <c r="A11" s="9"/>
      <c r="B11" s="9"/>
      <c r="C11" s="21"/>
      <c r="D11" s="24"/>
      <c r="E11" s="24"/>
      <c r="F11" s="27" t="str">
        <f aca="false">IF(OR(C11="",E11=""),"",C11*E11)</f>
        <v/>
      </c>
      <c r="G11" s="28" t="str">
        <f aca="false">IF(OR(C11="",D11=""),"",C11*D11+N(F11))</f>
        <v/>
      </c>
    </row>
    <row r="12" customFormat="false" ht="15" hidden="false" customHeight="false" outlineLevel="0" collapsed="false">
      <c r="A12" s="9"/>
      <c r="B12" s="9"/>
      <c r="C12" s="21"/>
      <c r="D12" s="24"/>
      <c r="E12" s="24"/>
      <c r="F12" s="27" t="str">
        <f aca="false">IF(OR(C12="",E12=""),"",C12*E12)</f>
        <v/>
      </c>
      <c r="G12" s="28" t="str">
        <f aca="false">IF(OR(C12="",D12=""),"",C12*D12+N(F12))</f>
        <v/>
      </c>
    </row>
    <row r="13" customFormat="false" ht="15" hidden="false" customHeight="false" outlineLevel="0" collapsed="false">
      <c r="A13" s="9"/>
      <c r="B13" s="9"/>
      <c r="C13" s="21"/>
      <c r="D13" s="24"/>
      <c r="E13" s="24"/>
      <c r="F13" s="27" t="str">
        <f aca="false">IF(OR(C13="",E13=""),"",C13*E13)</f>
        <v/>
      </c>
      <c r="G13" s="28" t="str">
        <f aca="false">IF(OR(C13="",D13=""),"",C13*D13+N(F13))</f>
        <v/>
      </c>
    </row>
    <row r="14" customFormat="false" ht="15" hidden="false" customHeight="false" outlineLevel="0" collapsed="false">
      <c r="A14" s="9"/>
      <c r="B14" s="9"/>
      <c r="C14" s="21"/>
      <c r="D14" s="24"/>
      <c r="E14" s="24"/>
      <c r="F14" s="27" t="str">
        <f aca="false">IF(OR(C14="",E14=""),"",C14*E14)</f>
        <v/>
      </c>
      <c r="G14" s="28" t="str">
        <f aca="false">IF(OR(C14="",D14=""),"",C14*D14+N(F14))</f>
        <v/>
      </c>
    </row>
    <row r="16" customFormat="false" ht="30" hidden="false" customHeight="true" outlineLevel="0" collapsed="false">
      <c r="A16" s="7" t="s">
        <v>123</v>
      </c>
      <c r="B16" s="7"/>
      <c r="C16" s="7"/>
      <c r="D16" s="7"/>
      <c r="E16" s="7"/>
      <c r="F16" s="7"/>
      <c r="G16" s="7"/>
    </row>
    <row r="18" customFormat="false" ht="30" hidden="false" customHeight="true" outlineLevel="0" collapsed="false">
      <c r="A18" s="4" t="s">
        <v>124</v>
      </c>
      <c r="B18" s="4" t="s">
        <v>77</v>
      </c>
      <c r="C18" s="4" t="s">
        <v>125</v>
      </c>
      <c r="D18" s="4" t="s">
        <v>126</v>
      </c>
      <c r="E18" s="4" t="s">
        <v>127</v>
      </c>
      <c r="F18" s="4" t="s">
        <v>128</v>
      </c>
      <c r="G18" s="4" t="s">
        <v>129</v>
      </c>
    </row>
    <row r="19" customFormat="false" ht="15" hidden="false" customHeight="false" outlineLevel="0" collapsed="false">
      <c r="A19" s="9"/>
      <c r="B19" s="9"/>
      <c r="C19" s="21"/>
      <c r="D19" s="21"/>
      <c r="E19" s="25" t="str">
        <f aca="false">IF(OR(D19="",N(C19)=0),"",D19/C19)</f>
        <v/>
      </c>
      <c r="F19" s="11"/>
      <c r="G19" s="13" t="str">
        <f aca="false">IF(OR(D19="",F19=""),"",D19*F19)</f>
        <v/>
      </c>
    </row>
    <row r="20" customFormat="false" ht="15" hidden="false" customHeight="false" outlineLevel="0" collapsed="false">
      <c r="A20" s="9"/>
      <c r="B20" s="9"/>
      <c r="C20" s="21"/>
      <c r="D20" s="21"/>
      <c r="E20" s="25" t="str">
        <f aca="false">IF(OR(D20="",N(C20)=0),"",D20/C20)</f>
        <v/>
      </c>
      <c r="F20" s="11"/>
      <c r="G20" s="13" t="str">
        <f aca="false">IF(OR(D20="",F20=""),"",D20*F20)</f>
        <v/>
      </c>
    </row>
    <row r="21" customFormat="false" ht="15" hidden="false" customHeight="false" outlineLevel="0" collapsed="false">
      <c r="A21" s="9"/>
      <c r="B21" s="9"/>
      <c r="C21" s="21"/>
      <c r="D21" s="21"/>
      <c r="E21" s="25" t="str">
        <f aca="false">IF(OR(D21="",N(C21)=0),"",D21/C21)</f>
        <v/>
      </c>
      <c r="F21" s="11"/>
      <c r="G21" s="13" t="str">
        <f aca="false">IF(OR(D21="",F21=""),"",D21*F21)</f>
        <v/>
      </c>
    </row>
    <row r="22" customFormat="false" ht="15" hidden="false" customHeight="false" outlineLevel="0" collapsed="false">
      <c r="A22" s="9"/>
      <c r="B22" s="9"/>
      <c r="C22" s="21"/>
      <c r="D22" s="21"/>
      <c r="E22" s="25" t="str">
        <f aca="false">IF(OR(D22="",N(C22)=0),"",D22/C22)</f>
        <v/>
      </c>
      <c r="F22" s="11"/>
      <c r="G22" s="13" t="str">
        <f aca="false">IF(OR(D22="",F22=""),"",D22*F22)</f>
        <v/>
      </c>
    </row>
    <row r="23" customFormat="false" ht="15" hidden="false" customHeight="false" outlineLevel="0" collapsed="false">
      <c r="A23" s="9"/>
      <c r="B23" s="9"/>
      <c r="C23" s="21"/>
      <c r="D23" s="21"/>
      <c r="E23" s="25" t="str">
        <f aca="false">IF(OR(D23="",N(C23)=0),"",D23/C23)</f>
        <v/>
      </c>
      <c r="F23" s="11"/>
      <c r="G23" s="13" t="str">
        <f aca="false">IF(OR(D23="",F23=""),"",D23*F23)</f>
        <v/>
      </c>
    </row>
    <row r="24" customFormat="false" ht="15" hidden="false" customHeight="false" outlineLevel="0" collapsed="false">
      <c r="A24" s="9"/>
      <c r="B24" s="9"/>
      <c r="C24" s="21"/>
      <c r="D24" s="21"/>
      <c r="E24" s="25" t="str">
        <f aca="false">IF(OR(D24="",N(C24)=0),"",D24/C24)</f>
        <v/>
      </c>
      <c r="F24" s="11"/>
      <c r="G24" s="13" t="str">
        <f aca="false">IF(OR(D24="",F24=""),"",D24*F24)</f>
        <v/>
      </c>
    </row>
    <row r="25" customFormat="false" ht="15" hidden="false" customHeight="false" outlineLevel="0" collapsed="false">
      <c r="A25" s="14" t="s">
        <v>130</v>
      </c>
      <c r="B25" s="22"/>
      <c r="C25" s="22"/>
      <c r="D25" s="22"/>
      <c r="E25" s="22"/>
      <c r="F25" s="22"/>
      <c r="G25" s="23" t="n">
        <f aca="false">SUM(G19:G24)</f>
        <v>0</v>
      </c>
    </row>
  </sheetData>
  <mergeCells count="2">
    <mergeCell ref="A4:G4"/>
    <mergeCell ref="A16:G16"/>
  </mergeCells>
  <printOptions headings="false" gridLines="false" gridLinesSet="true" horizontalCentered="true" verticalCentered="false"/>
  <pageMargins left="0.4" right="0.4"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&amp;C&amp;8 CADE / CCIAK · Yokkute PME · page &amp;P / &amp;N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3" min="2" style="0" width="14"/>
    <col collapsed="false" customWidth="true" hidden="false" outlineLevel="0" max="5" min="4" style="0" width="16"/>
  </cols>
  <sheetData>
    <row r="1" customFormat="false" ht="18.55" hidden="false" customHeight="false" outlineLevel="0" collapsed="false">
      <c r="A1" s="1" t="s">
        <v>131</v>
      </c>
    </row>
    <row r="2" customFormat="false" ht="15" hidden="false" customHeight="false" outlineLevel="0" collapsed="false">
      <c r="A2" s="2" t="s">
        <v>132</v>
      </c>
    </row>
    <row r="4" customFormat="false" ht="57.75" hidden="false" customHeight="true" outlineLevel="0" collapsed="false">
      <c r="A4" s="3" t="s">
        <v>133</v>
      </c>
      <c r="B4" s="3"/>
      <c r="C4" s="3"/>
      <c r="D4" s="3"/>
      <c r="E4" s="3"/>
    </row>
    <row r="6" customFormat="false" ht="15" hidden="false" customHeight="false" outlineLevel="0" collapsed="false">
      <c r="A6" s="14" t="s">
        <v>134</v>
      </c>
      <c r="B6" s="14"/>
      <c r="C6" s="14"/>
      <c r="D6" s="14"/>
      <c r="E6" s="14"/>
    </row>
    <row r="7" customFormat="false" ht="15" hidden="false" customHeight="false" outlineLevel="0" collapsed="false">
      <c r="A7" s="18" t="s">
        <v>135</v>
      </c>
      <c r="D7" s="11" t="n">
        <v>12500</v>
      </c>
    </row>
    <row r="8" customFormat="false" ht="30" hidden="false" customHeight="true" outlineLevel="0" collapsed="false">
      <c r="A8" s="4" t="s">
        <v>26</v>
      </c>
      <c r="B8" s="4" t="s">
        <v>27</v>
      </c>
      <c r="C8" s="4"/>
      <c r="D8" s="4" t="s">
        <v>28</v>
      </c>
      <c r="E8" s="4" t="s">
        <v>29</v>
      </c>
    </row>
    <row r="9" customFormat="false" ht="15" hidden="false" customHeight="true" outlineLevel="0" collapsed="false">
      <c r="A9" s="18" t="s">
        <v>136</v>
      </c>
      <c r="B9" s="6" t="s">
        <v>137</v>
      </c>
      <c r="C9" s="6"/>
      <c r="D9" s="11" t="n">
        <v>6000</v>
      </c>
      <c r="E9" s="11"/>
    </row>
    <row r="10" customFormat="false" ht="15" hidden="false" customHeight="true" outlineLevel="0" collapsed="false">
      <c r="A10" s="18" t="s">
        <v>138</v>
      </c>
      <c r="B10" s="6" t="s">
        <v>137</v>
      </c>
      <c r="C10" s="6"/>
      <c r="D10" s="11" t="n">
        <v>4000</v>
      </c>
      <c r="E10" s="11"/>
    </row>
    <row r="11" customFormat="false" ht="15" hidden="false" customHeight="true" outlineLevel="0" collapsed="false">
      <c r="A11" s="18" t="s">
        <v>139</v>
      </c>
      <c r="B11" s="6" t="s">
        <v>140</v>
      </c>
      <c r="C11" s="6"/>
      <c r="D11" s="11" t="n">
        <v>2500</v>
      </c>
      <c r="E11" s="11"/>
    </row>
    <row r="12" customFormat="false" ht="15" hidden="false" customHeight="true" outlineLevel="0" collapsed="false">
      <c r="A12" s="18" t="s">
        <v>141</v>
      </c>
      <c r="B12" s="6" t="s">
        <v>142</v>
      </c>
      <c r="C12" s="6"/>
      <c r="D12" s="11"/>
      <c r="E12" s="11" t="n">
        <v>4000</v>
      </c>
    </row>
    <row r="13" customFormat="false" ht="15" hidden="false" customHeight="true" outlineLevel="0" collapsed="false">
      <c r="A13" s="18" t="s">
        <v>143</v>
      </c>
      <c r="B13" s="6" t="s">
        <v>144</v>
      </c>
      <c r="C13" s="6"/>
      <c r="D13" s="11"/>
      <c r="E13" s="11" t="n">
        <v>1000</v>
      </c>
    </row>
    <row r="14" customFormat="false" ht="15" hidden="false" customHeight="true" outlineLevel="0" collapsed="false">
      <c r="A14" s="18" t="s">
        <v>145</v>
      </c>
      <c r="B14" s="6" t="s">
        <v>142</v>
      </c>
      <c r="C14" s="6"/>
      <c r="D14" s="11"/>
      <c r="E14" s="11" t="n">
        <v>500</v>
      </c>
    </row>
    <row r="15" customFormat="false" ht="15" hidden="false" customHeight="true" outlineLevel="0" collapsed="false">
      <c r="A15" s="18" t="s">
        <v>146</v>
      </c>
      <c r="B15" s="6" t="s">
        <v>144</v>
      </c>
      <c r="C15" s="6"/>
      <c r="D15" s="11"/>
      <c r="E15" s="11" t="n">
        <v>500</v>
      </c>
    </row>
    <row r="16" customFormat="false" ht="15" hidden="false" customHeight="true" outlineLevel="0" collapsed="false">
      <c r="A16" s="18" t="s">
        <v>147</v>
      </c>
      <c r="B16" s="6" t="s">
        <v>144</v>
      </c>
      <c r="C16" s="6"/>
      <c r="D16" s="11"/>
      <c r="E16" s="11" t="n">
        <v>500</v>
      </c>
    </row>
    <row r="17" customFormat="false" ht="15" hidden="false" customHeight="true" outlineLevel="0" collapsed="false">
      <c r="A17" s="18" t="s">
        <v>62</v>
      </c>
      <c r="B17" s="6" t="s">
        <v>148</v>
      </c>
      <c r="C17" s="6"/>
      <c r="D17" s="11"/>
      <c r="E17" s="11" t="n">
        <v>3000</v>
      </c>
    </row>
    <row r="18" customFormat="false" ht="15" hidden="false" customHeight="false" outlineLevel="0" collapsed="false">
      <c r="A18" s="14" t="s">
        <v>149</v>
      </c>
      <c r="D18" s="23" t="n">
        <f aca="false">SUM(D9:D17)</f>
        <v>12500</v>
      </c>
      <c r="E18" s="23" t="n">
        <f aca="false">SUM(E9:E17)</f>
        <v>9500</v>
      </c>
    </row>
    <row r="19" customFormat="false" ht="15" hidden="false" customHeight="false" outlineLevel="0" collapsed="false">
      <c r="A19" s="5" t="s">
        <v>150</v>
      </c>
      <c r="E19" s="15" t="n">
        <f aca="false">D7+D18-E18</f>
        <v>15500</v>
      </c>
    </row>
    <row r="20" customFormat="false" ht="15" hidden="false" customHeight="false" outlineLevel="0" collapsed="false">
      <c r="A20" s="18" t="s">
        <v>151</v>
      </c>
      <c r="E20" s="11" t="n">
        <v>14500</v>
      </c>
    </row>
    <row r="21" customFormat="false" ht="15" hidden="false" customHeight="false" outlineLevel="0" collapsed="false">
      <c r="A21" s="5" t="s">
        <v>152</v>
      </c>
      <c r="E21" s="15" t="n">
        <f aca="false">E20-E19</f>
        <v>-1000</v>
      </c>
    </row>
    <row r="22" customFormat="false" ht="15" hidden="false" customHeight="false" outlineLevel="0" collapsed="false">
      <c r="A22" s="18" t="s">
        <v>153</v>
      </c>
      <c r="E22" s="13" t="n">
        <f aca="false">SUMIF(B9:B17,"Vente",D9:D17)</f>
        <v>10000</v>
      </c>
    </row>
    <row r="23" customFormat="false" ht="15" hidden="false" customHeight="false" outlineLevel="0" collapsed="false">
      <c r="A23" s="18" t="s">
        <v>154</v>
      </c>
      <c r="E23" s="13" t="n">
        <f aca="false">SUMIF(B9:B17,"Prélèvement personnel",E9:E17)-MIN(0,E21)</f>
        <v>4000</v>
      </c>
    </row>
    <row r="24" customFormat="false" ht="30" hidden="false" customHeight="true" outlineLevel="0" collapsed="false">
      <c r="A24" s="29" t="s">
        <v>155</v>
      </c>
      <c r="B24" s="29"/>
      <c r="C24" s="29"/>
      <c r="D24" s="29"/>
      <c r="E24" s="29"/>
    </row>
    <row r="26" customFormat="false" ht="15" hidden="false" customHeight="false" outlineLevel="0" collapsed="false">
      <c r="A26" s="14" t="s">
        <v>156</v>
      </c>
      <c r="B26" s="14"/>
      <c r="C26" s="14"/>
      <c r="D26" s="14"/>
      <c r="E26" s="14"/>
    </row>
    <row r="27" customFormat="false" ht="30" hidden="false" customHeight="true" outlineLevel="0" collapsed="false">
      <c r="A27" s="4" t="s">
        <v>157</v>
      </c>
      <c r="B27" s="4" t="s">
        <v>158</v>
      </c>
      <c r="C27" s="4"/>
      <c r="D27" s="4" t="s">
        <v>159</v>
      </c>
      <c r="E27" s="4" t="s">
        <v>160</v>
      </c>
    </row>
    <row r="28" customFormat="false" ht="28.35" hidden="false" customHeight="false" outlineLevel="0" collapsed="false">
      <c r="A28" s="18" t="s">
        <v>161</v>
      </c>
      <c r="B28" s="11" t="n">
        <v>4000</v>
      </c>
      <c r="C28" s="11"/>
      <c r="D28" s="11" t="n">
        <v>3750</v>
      </c>
      <c r="E28" s="30" t="s">
        <v>162</v>
      </c>
    </row>
    <row r="29" customFormat="false" ht="15" hidden="false" customHeight="false" outlineLevel="0" collapsed="false">
      <c r="A29" s="18" t="s">
        <v>163</v>
      </c>
      <c r="B29" s="11" t="n">
        <v>300</v>
      </c>
      <c r="C29" s="11"/>
      <c r="D29" s="11" t="n">
        <v>300</v>
      </c>
      <c r="E29" s="30"/>
    </row>
    <row r="30" customFormat="false" ht="19.4" hidden="false" customHeight="false" outlineLevel="0" collapsed="false">
      <c r="A30" s="18" t="s">
        <v>145</v>
      </c>
      <c r="B30" s="11" t="n">
        <v>450</v>
      </c>
      <c r="C30" s="11"/>
      <c r="D30" s="11" t="n">
        <v>500</v>
      </c>
      <c r="E30" s="30" t="s">
        <v>164</v>
      </c>
    </row>
    <row r="31" customFormat="false" ht="15" hidden="false" customHeight="false" outlineLevel="0" collapsed="false">
      <c r="A31" s="18" t="s">
        <v>143</v>
      </c>
      <c r="B31" s="11" t="n">
        <v>1000</v>
      </c>
      <c r="C31" s="11"/>
      <c r="D31" s="11" t="n">
        <v>1000</v>
      </c>
      <c r="E31" s="30"/>
    </row>
    <row r="32" customFormat="false" ht="15" hidden="false" customHeight="false" outlineLevel="0" collapsed="false">
      <c r="A32" s="18" t="s">
        <v>165</v>
      </c>
      <c r="B32" s="11" t="n">
        <v>500</v>
      </c>
      <c r="C32" s="11"/>
      <c r="D32" s="11" t="n">
        <v>500</v>
      </c>
      <c r="E32" s="30"/>
    </row>
    <row r="33" customFormat="false" ht="15" hidden="false" customHeight="false" outlineLevel="0" collapsed="false">
      <c r="A33" s="18" t="s">
        <v>146</v>
      </c>
      <c r="B33" s="11" t="n">
        <v>500</v>
      </c>
      <c r="C33" s="11"/>
      <c r="D33" s="11" t="n">
        <v>500</v>
      </c>
      <c r="E33" s="30"/>
    </row>
    <row r="34" customFormat="false" ht="15" hidden="false" customHeight="false" outlineLevel="0" collapsed="false">
      <c r="A34" s="18" t="s">
        <v>166</v>
      </c>
      <c r="B34" s="11" t="n">
        <v>1500</v>
      </c>
      <c r="C34" s="11"/>
      <c r="D34" s="11" t="n">
        <v>1500</v>
      </c>
      <c r="E34" s="30"/>
    </row>
    <row r="35" customFormat="false" ht="23.85" hidden="false" customHeight="false" outlineLevel="0" collapsed="false">
      <c r="A35" s="6" t="s">
        <v>167</v>
      </c>
      <c r="B35" s="11" t="n">
        <f aca="false">15000+4500+1500</f>
        <v>21000</v>
      </c>
      <c r="C35" s="11"/>
      <c r="D35" s="13" t="n">
        <f aca="false">B35</f>
        <v>21000</v>
      </c>
      <c r="E35" s="20"/>
    </row>
    <row r="36" customFormat="false" ht="15" hidden="false" customHeight="false" outlineLevel="0" collapsed="false">
      <c r="A36" s="18" t="s">
        <v>168</v>
      </c>
      <c r="B36" s="24" t="n">
        <v>12</v>
      </c>
      <c r="C36" s="24"/>
      <c r="D36" s="31" t="n">
        <f aca="false">B36</f>
        <v>12</v>
      </c>
      <c r="E36" s="20"/>
    </row>
    <row r="37" customFormat="false" ht="15" hidden="false" customHeight="false" outlineLevel="0" collapsed="false">
      <c r="A37" s="18" t="s">
        <v>169</v>
      </c>
      <c r="B37" s="13" t="n">
        <f aca="false">B35/B36</f>
        <v>1750</v>
      </c>
      <c r="C37" s="13"/>
      <c r="D37" s="13" t="n">
        <f aca="false">D35/D36</f>
        <v>1750</v>
      </c>
      <c r="E37" s="20"/>
    </row>
    <row r="38" customFormat="false" ht="15" hidden="false" customHeight="false" outlineLevel="0" collapsed="false">
      <c r="A38" s="14" t="s">
        <v>170</v>
      </c>
      <c r="B38" s="23" t="n">
        <f aca="false">SUM(B28:B34)+B37</f>
        <v>10000</v>
      </c>
      <c r="C38" s="23"/>
      <c r="D38" s="23" t="n">
        <f aca="false">SUM(D28:D34)+D37</f>
        <v>9800</v>
      </c>
      <c r="E38" s="20"/>
    </row>
    <row r="39" customFormat="false" ht="15" hidden="false" customHeight="false" outlineLevel="0" collapsed="false">
      <c r="A39" s="18" t="s">
        <v>171</v>
      </c>
      <c r="B39" s="32" t="n">
        <v>9</v>
      </c>
      <c r="C39" s="32"/>
      <c r="D39" s="32" t="n">
        <v>9.5</v>
      </c>
      <c r="E39" s="20"/>
    </row>
    <row r="40" customFormat="false" ht="15" hidden="false" customHeight="false" outlineLevel="0" collapsed="false">
      <c r="A40" s="5" t="s">
        <v>172</v>
      </c>
      <c r="B40" s="15" t="n">
        <f aca="false">B38/B39</f>
        <v>1111.11111111111</v>
      </c>
      <c r="C40" s="15"/>
      <c r="D40" s="15" t="n">
        <f aca="false">D38/D39</f>
        <v>1031.57894736842</v>
      </c>
      <c r="E40" s="20"/>
    </row>
    <row r="41" customFormat="false" ht="15" hidden="false" customHeight="false" outlineLevel="0" collapsed="false">
      <c r="A41" s="18" t="s">
        <v>173</v>
      </c>
      <c r="B41" s="11" t="n">
        <v>1000</v>
      </c>
      <c r="C41" s="11"/>
      <c r="D41" s="11" t="n">
        <v>1250</v>
      </c>
      <c r="E41" s="20"/>
    </row>
    <row r="42" customFormat="false" ht="15" hidden="false" customHeight="false" outlineLevel="0" collapsed="false">
      <c r="A42" s="5" t="s">
        <v>174</v>
      </c>
      <c r="B42" s="15" t="n">
        <f aca="false">B41-B40</f>
        <v>-111.111111111111</v>
      </c>
      <c r="C42" s="15"/>
      <c r="D42" s="15" t="n">
        <f aca="false">D41-D40</f>
        <v>218.421052631579</v>
      </c>
      <c r="E42" s="20"/>
    </row>
    <row r="43" customFormat="false" ht="15" hidden="false" customHeight="false" outlineLevel="0" collapsed="false">
      <c r="A43" s="18" t="s">
        <v>175</v>
      </c>
      <c r="B43" s="31" t="n">
        <f aca="false">B39*B36</f>
        <v>108</v>
      </c>
      <c r="C43" s="31"/>
      <c r="D43" s="31" t="n">
        <f aca="false">D39*D36</f>
        <v>114</v>
      </c>
      <c r="E43" s="20"/>
    </row>
    <row r="44" customFormat="false" ht="15" hidden="false" customHeight="false" outlineLevel="0" collapsed="false">
      <c r="A44" s="14" t="s">
        <v>176</v>
      </c>
      <c r="B44" s="23" t="n">
        <f aca="false">B42*B43</f>
        <v>-12000</v>
      </c>
      <c r="C44" s="23"/>
      <c r="D44" s="23" t="n">
        <f aca="false">D42*D43</f>
        <v>24900</v>
      </c>
      <c r="E44" s="20"/>
    </row>
    <row r="45" customFormat="false" ht="39.75" hidden="false" customHeight="true" outlineLevel="0" collapsed="false">
      <c r="A45" s="29" t="s">
        <v>177</v>
      </c>
      <c r="B45" s="29"/>
      <c r="C45" s="29"/>
      <c r="D45" s="29"/>
      <c r="E45" s="29"/>
    </row>
    <row r="47" customFormat="false" ht="15" hidden="false" customHeight="false" outlineLevel="0" collapsed="false">
      <c r="A47" s="14" t="s">
        <v>178</v>
      </c>
      <c r="B47" s="14"/>
      <c r="C47" s="14"/>
      <c r="D47" s="14"/>
      <c r="E47" s="14"/>
    </row>
    <row r="48" customFormat="false" ht="15" hidden="false" customHeight="false" outlineLevel="0" collapsed="false">
      <c r="A48" s="18" t="s">
        <v>179</v>
      </c>
      <c r="E48" s="32" t="n">
        <f aca="false">120/30</f>
        <v>4</v>
      </c>
    </row>
    <row r="49" customFormat="false" ht="15" hidden="false" customHeight="false" outlineLevel="0" collapsed="false">
      <c r="A49" s="18" t="s">
        <v>120</v>
      </c>
      <c r="E49" s="33" t="n">
        <v>7</v>
      </c>
    </row>
    <row r="50" customFormat="false" ht="15" hidden="false" customHeight="false" outlineLevel="0" collapsed="false">
      <c r="A50" s="18" t="s">
        <v>180</v>
      </c>
      <c r="E50" s="33" t="n">
        <v>3</v>
      </c>
    </row>
    <row r="51" customFormat="false" ht="15" hidden="false" customHeight="false" outlineLevel="0" collapsed="false">
      <c r="A51" s="18" t="s">
        <v>181</v>
      </c>
      <c r="E51" s="34" t="n">
        <f aca="false">E48*E50</f>
        <v>12</v>
      </c>
    </row>
    <row r="52" customFormat="false" ht="15" hidden="false" customHeight="false" outlineLevel="0" collapsed="false">
      <c r="A52" s="5" t="s">
        <v>182</v>
      </c>
      <c r="E52" s="35" t="n">
        <f aca="false">E48*E49+E51</f>
        <v>40</v>
      </c>
    </row>
    <row r="54" customFormat="false" ht="30" hidden="false" customHeight="true" outlineLevel="0" collapsed="false">
      <c r="A54" s="4" t="s">
        <v>183</v>
      </c>
      <c r="B54" s="4" t="s">
        <v>184</v>
      </c>
      <c r="C54" s="4" t="s">
        <v>185</v>
      </c>
      <c r="D54" s="4" t="s">
        <v>186</v>
      </c>
      <c r="E54" s="4" t="s">
        <v>187</v>
      </c>
    </row>
    <row r="55" customFormat="false" ht="15" hidden="false" customHeight="false" outlineLevel="0" collapsed="false">
      <c r="A55" s="18" t="s">
        <v>188</v>
      </c>
      <c r="D55" s="34" t="n">
        <v>52</v>
      </c>
    </row>
    <row r="56" customFormat="false" ht="15" hidden="false" customHeight="false" outlineLevel="0" collapsed="false">
      <c r="A56" s="18" t="s">
        <v>189</v>
      </c>
      <c r="B56" s="18"/>
      <c r="C56" s="33" t="n">
        <v>10</v>
      </c>
      <c r="D56" s="34" t="n">
        <f aca="false">D55-C56</f>
        <v>42</v>
      </c>
      <c r="E56" s="17" t="str">
        <f aca="false">IF(D56&lt;=$E$52,"Acheter un sac au prochain marché","Rien à faire")</f>
        <v>Rien à faire</v>
      </c>
    </row>
    <row r="57" customFormat="false" ht="15" hidden="false" customHeight="false" outlineLevel="0" collapsed="false">
      <c r="A57" s="18" t="s">
        <v>190</v>
      </c>
      <c r="B57" s="18"/>
      <c r="C57" s="33" t="n">
        <v>10</v>
      </c>
      <c r="D57" s="34" t="n">
        <f aca="false">D56-C57</f>
        <v>32</v>
      </c>
      <c r="E57" s="17" t="str">
        <f aca="false">IF(D57&lt;=$E$52,"Acheter un sac au prochain marché","Rien à faire")</f>
        <v>Acheter un sac au prochain marché</v>
      </c>
    </row>
  </sheetData>
  <mergeCells count="32">
    <mergeCell ref="A4:E4"/>
    <mergeCell ref="A6:E6"/>
    <mergeCell ref="B9:C9"/>
    <mergeCell ref="B10:C10"/>
    <mergeCell ref="B11:C11"/>
    <mergeCell ref="B12:C12"/>
    <mergeCell ref="B13:C13"/>
    <mergeCell ref="B14:C14"/>
    <mergeCell ref="B15:C15"/>
    <mergeCell ref="B16:C16"/>
    <mergeCell ref="B17:C17"/>
    <mergeCell ref="A24:E24"/>
    <mergeCell ref="A26:E26"/>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A45:E45"/>
    <mergeCell ref="A47:E47"/>
  </mergeCells>
  <printOptions headings="false" gridLines="false" gridLinesSet="true" horizontalCentered="true" verticalCentered="false"/>
  <pageMargins left="0.4" right="0.4" top="1" bottom="1" header="0.511811023622047" footer="0.5"/>
  <pageSetup paperSize="9" scale="100" fitToWidth="1" fitToHeight="0" pageOrder="downThenOver" orientation="portrait" blackAndWhite="false" draft="false" cellComments="none" horizontalDpi="300" verticalDpi="300" copies="1"/>
  <headerFooter differentFirst="false" differentOddEven="false">
    <oddHeader/>
    <oddFooter>&amp;C&amp;8 CADE / CCIAK · Yokkute PME · page &amp;P /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2026-10-30T12:11:37Z</dcterms:created>
  <dc:creator>openpyxl</dc:creator>
  <dc:description/>
  <dc:language>en-US</dc:language>
  <cp:lastModifiedBy/>
  <dcterms:modified xsi:type="dcterms:W3CDTF">2026-10-30T12:11:38Z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